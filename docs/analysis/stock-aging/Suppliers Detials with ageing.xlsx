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Ageing" sheetId="1" r:id="rId1"/>
    <sheet name="Party wise Balance" sheetId="2" r:id="rId2"/>
    <sheet name="Sheet3" sheetId="3" r:id="rId3"/>
  </sheets>
  <definedNames>
    <definedName name="_xlnm._FilterDatabase" localSheetId="0" hidden="1">Ageing!$A$1:$V$164</definedName>
    <definedName name="_xlnm._FilterDatabase" localSheetId="1" hidden="1">'Party wise Balance'!$A$3:$D$233</definedName>
  </definedNames>
  <calcPr calcId="124519"/>
</workbook>
</file>

<file path=xl/calcChain.xml><?xml version="1.0" encoding="utf-8"?>
<calcChain xmlns="http://schemas.openxmlformats.org/spreadsheetml/2006/main">
  <c r="D234" i="2"/>
  <c r="V162" i="1"/>
  <c r="V161"/>
  <c r="V157"/>
  <c r="V156"/>
  <c r="V138"/>
  <c r="V137"/>
  <c r="V133"/>
  <c r="V132"/>
  <c r="V131"/>
  <c r="V123"/>
  <c r="V122"/>
  <c r="V121"/>
  <c r="V120"/>
  <c r="V119"/>
  <c r="V114"/>
  <c r="V113"/>
  <c r="V112"/>
  <c r="V111"/>
  <c r="V110"/>
  <c r="V109"/>
  <c r="V108"/>
  <c r="V107"/>
  <c r="V106"/>
  <c r="V105"/>
  <c r="V104"/>
  <c r="V103"/>
  <c r="V102"/>
  <c r="V99"/>
  <c r="V98"/>
  <c r="V97"/>
  <c r="V96"/>
  <c r="V95"/>
  <c r="V94"/>
  <c r="V93"/>
  <c r="V92"/>
  <c r="V91"/>
  <c r="V90"/>
  <c r="V89"/>
  <c r="V77"/>
  <c r="V76"/>
  <c r="V67"/>
  <c r="V66"/>
  <c r="V65"/>
  <c r="V58"/>
  <c r="V57"/>
  <c r="V56"/>
  <c r="V53"/>
  <c r="V52"/>
  <c r="V51"/>
  <c r="V46"/>
  <c r="V45"/>
  <c r="V44"/>
  <c r="V43"/>
  <c r="V42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2"/>
</calcChain>
</file>

<file path=xl/sharedStrings.xml><?xml version="1.0" encoding="utf-8"?>
<sst xmlns="http://schemas.openxmlformats.org/spreadsheetml/2006/main" count="2382" uniqueCount="1017">
  <si>
    <t>Sl No.</t>
  </si>
  <si>
    <t>Supplier Name</t>
  </si>
  <si>
    <t>Doc. Type</t>
  </si>
  <si>
    <t>Software Entry Date</t>
  </si>
  <si>
    <t>Software
Voucher No.</t>
  </si>
  <si>
    <t>Software Bill No.</t>
  </si>
  <si>
    <t>Document Date</t>
  </si>
  <si>
    <t>Document No.</t>
  </si>
  <si>
    <t>Total QTY</t>
  </si>
  <si>
    <t>Gross Amount (₹)</t>
  </si>
  <si>
    <t>Charges 
(₹)</t>
  </si>
  <si>
    <t>Discount 
(₹)</t>
  </si>
  <si>
    <t>Total Tax (₹)</t>
  </si>
  <si>
    <t>Grand Total (₹)</t>
  </si>
  <si>
    <t>DR. (₹)</t>
  </si>
  <si>
    <t>CR. (₹)</t>
  </si>
  <si>
    <t>PAYMENT DUE DATE (T+30)</t>
  </si>
  <si>
    <t>PAYMENT STATUS</t>
  </si>
  <si>
    <t>LAST PAID ON</t>
  </si>
  <si>
    <t>AMOUNT PAID</t>
  </si>
  <si>
    <t>Remarks</t>
  </si>
  <si>
    <t>Aging</t>
  </si>
  <si>
    <t>ADITYA PRINTS</t>
  </si>
  <si>
    <t>Purchase</t>
  </si>
  <si>
    <t>SAN/PU-055</t>
  </si>
  <si>
    <t>AP-1852</t>
  </si>
  <si>
    <t>1/1852</t>
  </si>
  <si>
    <t>-</t>
  </si>
  <si>
    <t>PARTIALLY PAID</t>
  </si>
  <si>
    <t>₹ 131,294.00</t>
  </si>
  <si>
    <t>AGAM CREATION</t>
  </si>
  <si>
    <t>25-26/SAN/PU-483</t>
  </si>
  <si>
    <t>AC-1416</t>
  </si>
  <si>
    <t>UNPAID</t>
  </si>
  <si>
    <t>₹ -</t>
  </si>
  <si>
    <t>25-26/SAN/PU-680</t>
  </si>
  <si>
    <t>AC-3649</t>
  </si>
  <si>
    <t>25-26/SAN/PU-681</t>
  </si>
  <si>
    <t>AC-3641</t>
  </si>
  <si>
    <t>25-26/SAN/PU-729</t>
  </si>
  <si>
    <t>AC-3736</t>
  </si>
  <si>
    <t>AMARJYOTI CREATION</t>
  </si>
  <si>
    <t>25-26/SAN/PU-642</t>
  </si>
  <si>
    <t>AC-554</t>
  </si>
  <si>
    <t>APPLE LIFESTYLE INDUSTRIES LIMITED</t>
  </si>
  <si>
    <t>26-27/SAN/PU-103</t>
  </si>
  <si>
    <t>APPLE/10911</t>
  </si>
  <si>
    <t>26-27/SAN/PU-102</t>
  </si>
  <si>
    <t>APPLE/10912</t>
  </si>
  <si>
    <t>BANSAL TRADING COMPANY</t>
  </si>
  <si>
    <t>SAN/PU-436</t>
  </si>
  <si>
    <t>BTC-47087</t>
  </si>
  <si>
    <t>47087/S</t>
  </si>
  <si>
    <t>BHAGWATI IMPEX</t>
  </si>
  <si>
    <t>26-27/SAN/PU 36-BI 13</t>
  </si>
  <si>
    <t>BI-13</t>
  </si>
  <si>
    <t>DEV CREATION</t>
  </si>
  <si>
    <t>25-26/SAN/PU-822</t>
  </si>
  <si>
    <t>DC-159</t>
  </si>
  <si>
    <t>NGP-159</t>
  </si>
  <si>
    <t>25-26/SAN/PU-823</t>
  </si>
  <si>
    <t>DC-162</t>
  </si>
  <si>
    <t>NGP-162</t>
  </si>
  <si>
    <t>25-26/SAN/PU-824</t>
  </si>
  <si>
    <t>DC-163</t>
  </si>
  <si>
    <t>NGP-163</t>
  </si>
  <si>
    <t>26-27/SAN/PU-33 DC NGP 2</t>
  </si>
  <si>
    <t>NGP-2</t>
  </si>
  <si>
    <t>26/SAN/PU-32 DC-01</t>
  </si>
  <si>
    <t>NGP-1</t>
  </si>
  <si>
    <t>FANCY BAG</t>
  </si>
  <si>
    <t>25-26/SAN/PU-670</t>
  </si>
  <si>
    <t>FB-17</t>
  </si>
  <si>
    <t>FBC CLOTHING</t>
  </si>
  <si>
    <t>26-27/SAN/PU-11</t>
  </si>
  <si>
    <t>FBCC/25-26/530</t>
  </si>
  <si>
    <t>26-27/SAN/PU-10</t>
  </si>
  <si>
    <t>FBCC/25-26/523</t>
  </si>
  <si>
    <t>25-26/SAN/PU-583</t>
  </si>
  <si>
    <t>FBC-303</t>
  </si>
  <si>
    <t>FBCC/25-26-303</t>
  </si>
  <si>
    <t>GAURAV SYNTHETICS</t>
  </si>
  <si>
    <t>25-26/SAN/PU-730</t>
  </si>
  <si>
    <t>GS-11962</t>
  </si>
  <si>
    <t>GS-GSTI-11962</t>
  </si>
  <si>
    <t>26-27/SAN/PU-31 GS-486</t>
  </si>
  <si>
    <t>06-Apr.26</t>
  </si>
  <si>
    <t>GS-GSTI-486</t>
  </si>
  <si>
    <t>26-27/SAN PU 86,87</t>
  </si>
  <si>
    <t>GS-GSTI-2578</t>
  </si>
  <si>
    <t>26-27/SAN PU 85</t>
  </si>
  <si>
    <t>GS-GSTI-2570</t>
  </si>
  <si>
    <t>GOLDEN ENTERPRISE</t>
  </si>
  <si>
    <t>25-26/SAN/PU-651</t>
  </si>
  <si>
    <t>GE-777</t>
  </si>
  <si>
    <t>777/G</t>
  </si>
  <si>
    <t>GURUKRIPA ENTERPRISES</t>
  </si>
  <si>
    <t>25-26/SAN/PU-821</t>
  </si>
  <si>
    <t>GE-11</t>
  </si>
  <si>
    <t>PARTIALPAID</t>
  </si>
  <si>
    <t>JAGDISH PRINTCO</t>
  </si>
  <si>
    <t>26-27/SAN/PU-121</t>
  </si>
  <si>
    <t>26-27/SAN/PU-143</t>
  </si>
  <si>
    <t>JP-139</t>
  </si>
  <si>
    <t>JAIN ADISHWAR HOSIERY WORKS LLP</t>
  </si>
  <si>
    <t>26-27/SAN/PU-019</t>
  </si>
  <si>
    <t>J/26-27/102</t>
  </si>
  <si>
    <t>26-27/SAN/PU-131</t>
  </si>
  <si>
    <t>J/26-27/1723</t>
  </si>
  <si>
    <t>26-27/SAN/PU-145</t>
  </si>
  <si>
    <t>JULAHAA EXCLUSIVE</t>
  </si>
  <si>
    <t>25-26/SAN/PU-385</t>
  </si>
  <si>
    <t>JE-273811</t>
  </si>
  <si>
    <t>PARTIAL</t>
  </si>
  <si>
    <t>25-26/SAN/PU-386</t>
  </si>
  <si>
    <t>JE-273812</t>
  </si>
  <si>
    <t>25-26/SAN/PU-387</t>
  </si>
  <si>
    <t>JE-273813</t>
  </si>
  <si>
    <t>25-26/SAN/PU-388</t>
  </si>
  <si>
    <t>JE-273814</t>
  </si>
  <si>
    <t>25-26/SAN/PU-389</t>
  </si>
  <si>
    <t>JE-273815</t>
  </si>
  <si>
    <t>25-26/SAN/PU-390</t>
  </si>
  <si>
    <t>JE-273956</t>
  </si>
  <si>
    <t>25-26/SAN/PU-391</t>
  </si>
  <si>
    <t>JE-273957</t>
  </si>
  <si>
    <t>25-26/SAN/PU-451</t>
  </si>
  <si>
    <t>JE-275482</t>
  </si>
  <si>
    <t>25-26/SAN/PU-452</t>
  </si>
  <si>
    <t>JE-275544</t>
  </si>
  <si>
    <t>25-26/SAN/PU-463</t>
  </si>
  <si>
    <t>JE-276560</t>
  </si>
  <si>
    <t>K NIRAV &amp; CO.</t>
  </si>
  <si>
    <t>25-26/SAN/PU-684</t>
  </si>
  <si>
    <t>KNC-5382</t>
  </si>
  <si>
    <t>25-26/SAN/PU-688</t>
  </si>
  <si>
    <t>KNC-5381</t>
  </si>
  <si>
    <t>KIDCITY SOLUTIONS PRIVATE LIMITED</t>
  </si>
  <si>
    <t>25-26/SAN/PU-774</t>
  </si>
  <si>
    <t>KSPL-1146</t>
  </si>
  <si>
    <t>KC/25-26/1146</t>
  </si>
  <si>
    <t>25-26/SAN/PU-775</t>
  </si>
  <si>
    <t>KSPL-1147</t>
  </si>
  <si>
    <t>KC/25-26/1147</t>
  </si>
  <si>
    <t>25-26/SAN/PU-801</t>
  </si>
  <si>
    <t>KSPL-1148</t>
  </si>
  <si>
    <t>KC/25-26/1148</t>
  </si>
  <si>
    <t>KISHAN LAL RISHIKESH</t>
  </si>
  <si>
    <t>25-26/SAN/PU-460</t>
  </si>
  <si>
    <t>KLR-496</t>
  </si>
  <si>
    <t>496/2025-26</t>
  </si>
  <si>
    <t>25-26/SAN/PU-472</t>
  </si>
  <si>
    <t>KLR-532</t>
  </si>
  <si>
    <t>532/2025-26</t>
  </si>
  <si>
    <t>KISHORE TEXTILES</t>
  </si>
  <si>
    <t>25-26/SAN/PU-731</t>
  </si>
  <si>
    <t>KT-929</t>
  </si>
  <si>
    <t>26-27/SAN/PU-58,59</t>
  </si>
  <si>
    <t>KT/26-27/1147</t>
  </si>
  <si>
    <t>LAXMI NX</t>
  </si>
  <si>
    <t>25-26/SAN/PU-666</t>
  </si>
  <si>
    <t>LF-1924</t>
  </si>
  <si>
    <t>132-26/27SAN/PU-35</t>
  </si>
  <si>
    <t>132/26/27</t>
  </si>
  <si>
    <t>134-26/27/SAN/PU-34</t>
  </si>
  <si>
    <t>134/26/27</t>
  </si>
  <si>
    <t>MANOJ ENTERPRISES</t>
  </si>
  <si>
    <t>25-26/SAN/PU-345</t>
  </si>
  <si>
    <t>ME-1846</t>
  </si>
  <si>
    <t>MEBC/2526/1846</t>
  </si>
  <si>
    <t>25-26/SAN/PU-378</t>
  </si>
  <si>
    <t>ME-1954</t>
  </si>
  <si>
    <t>MEBC/2526/1954</t>
  </si>
  <si>
    <t>MISS ART GARMENTS PVT. LTD.</t>
  </si>
  <si>
    <t>25-26/SAN/PU-790</t>
  </si>
  <si>
    <t>MAG-29257</t>
  </si>
  <si>
    <t>MAG/29257/25-26</t>
  </si>
  <si>
    <t>MURARKA TEXTILES</t>
  </si>
  <si>
    <t>26-27/SANPU-69,26-27/SAN/PU-70</t>
  </si>
  <si>
    <t>26-27/SANPU-67,26-27/SAN/PU-68</t>
  </si>
  <si>
    <t>MT/26-270451</t>
  </si>
  <si>
    <t>25-26/SAN/PU-810</t>
  </si>
  <si>
    <t>MT-4219</t>
  </si>
  <si>
    <t>MT/4219/25-26</t>
  </si>
  <si>
    <t>NAMAN FASHION</t>
  </si>
  <si>
    <t>SAN/PU-116</t>
  </si>
  <si>
    <t>NF-128</t>
  </si>
  <si>
    <t>NA</t>
  </si>
  <si>
    <t>25-26/SAN/PU-021</t>
  </si>
  <si>
    <t>NFK-47</t>
  </si>
  <si>
    <t>25-26/SAN/PU-034</t>
  </si>
  <si>
    <t>NF-200425</t>
  </si>
  <si>
    <t>25-26/SAN/PU-200</t>
  </si>
  <si>
    <t>NF-270825</t>
  </si>
  <si>
    <t>25-26/SAN/PU-329</t>
  </si>
  <si>
    <t>NF-19</t>
  </si>
  <si>
    <t>25-26/SAN/PU-330</t>
  </si>
  <si>
    <t>NF-240925</t>
  </si>
  <si>
    <t>NEEL MADHAV CREATION PRIVATE LIMITED</t>
  </si>
  <si>
    <t>25-26/SAN/PU-470</t>
  </si>
  <si>
    <t>NMC-13789</t>
  </si>
  <si>
    <t>25-26/SAN/PU-471</t>
  </si>
  <si>
    <t>NMC-13790</t>
  </si>
  <si>
    <t>OM MANGLAM TEXTILES</t>
  </si>
  <si>
    <t>25-26/SAN/PU-829</t>
  </si>
  <si>
    <t>OMT-300326</t>
  </si>
  <si>
    <t>OVERSEAS ENTERPRISES</t>
  </si>
  <si>
    <t>25-26/SAN/PU-037</t>
  </si>
  <si>
    <t>OE-91</t>
  </si>
  <si>
    <t>91-GST/2025-26</t>
  </si>
  <si>
    <t>PARTIAL PAID</t>
  </si>
  <si>
    <t>25-26/SAN/PU-102</t>
  </si>
  <si>
    <t>OD-397</t>
  </si>
  <si>
    <t>397-GST/2025-26</t>
  </si>
  <si>
    <t>25-26/SAN/PU-237</t>
  </si>
  <si>
    <t>OE-831</t>
  </si>
  <si>
    <t>831-GST/2025-26</t>
  </si>
  <si>
    <t>25-26/SAN/PU-562</t>
  </si>
  <si>
    <t>OE-1361</t>
  </si>
  <si>
    <t>1361-GST/2025-26</t>
  </si>
  <si>
    <t>26-27/SAN/PU-136</t>
  </si>
  <si>
    <t>457GST/2026-27</t>
  </si>
  <si>
    <t>P M SONS</t>
  </si>
  <si>
    <t>26-27/SAN/PU-57</t>
  </si>
  <si>
    <t>BN-PMS/26-27/483</t>
  </si>
  <si>
    <t>26-27/SANPU-56</t>
  </si>
  <si>
    <t>BN-PMS/26-27/484</t>
  </si>
  <si>
    <t>26-27/SAN/PU/147</t>
  </si>
  <si>
    <t>BN-PMS/26-27/1054</t>
  </si>
  <si>
    <t>PARSHVDEEP TEXTILE</t>
  </si>
  <si>
    <t>25-26/SAN/PU-152</t>
  </si>
  <si>
    <t>PT-91</t>
  </si>
  <si>
    <t>PT/0091/25-26</t>
  </si>
  <si>
    <t>PAWAN CREATION</t>
  </si>
  <si>
    <t>25-26/SAN/PU-811</t>
  </si>
  <si>
    <t>PC-3835</t>
  </si>
  <si>
    <t>POOJA DESIGNERS</t>
  </si>
  <si>
    <t>25-26/SAN/PU-834</t>
  </si>
  <si>
    <t>PD-19746</t>
  </si>
  <si>
    <t>PD/25-26/19746</t>
  </si>
  <si>
    <t>25-26/SAN/PU-835</t>
  </si>
  <si>
    <t>PD-19753</t>
  </si>
  <si>
    <t>PD/25-26/19753</t>
  </si>
  <si>
    <t>25-26/SAN/PU-836</t>
  </si>
  <si>
    <t>PD-19747</t>
  </si>
  <si>
    <t>PD/25-26/19747</t>
  </si>
  <si>
    <t>25-26/SAN/PU-837</t>
  </si>
  <si>
    <t>PD-19745</t>
  </si>
  <si>
    <t>PD/25-26/19745</t>
  </si>
  <si>
    <t>25-26/SAN/PU-838</t>
  </si>
  <si>
    <t>PD-19749</t>
  </si>
  <si>
    <t>PD/25-26/19749</t>
  </si>
  <si>
    <t>25-26/SAN/PU-839</t>
  </si>
  <si>
    <t>PD-19751</t>
  </si>
  <si>
    <t>PD/25-26/19751</t>
  </si>
  <si>
    <t>25-26/SAN/PU-840</t>
  </si>
  <si>
    <t>PD-19754</t>
  </si>
  <si>
    <t>PD/25-26/19754</t>
  </si>
  <si>
    <t>26-27/SAN/PU -01</t>
  </si>
  <si>
    <t>PD/25-26/19748</t>
  </si>
  <si>
    <t>01-AP-26</t>
  </si>
  <si>
    <t>26-27/SAN/PU-02</t>
  </si>
  <si>
    <t>PD/25-26/19762</t>
  </si>
  <si>
    <t>POONAM FASHION</t>
  </si>
  <si>
    <t>25-26/SAN/PU-190</t>
  </si>
  <si>
    <t>PF-745</t>
  </si>
  <si>
    <t>25-26/SAN/PU-420</t>
  </si>
  <si>
    <t>PF-1418</t>
  </si>
  <si>
    <t>PRIYAM FASHION</t>
  </si>
  <si>
    <t>25-26/SAN/PU-653</t>
  </si>
  <si>
    <t>PF-2017</t>
  </si>
  <si>
    <t>2017/P</t>
  </si>
  <si>
    <t>R CREATION</t>
  </si>
  <si>
    <t>25-26/SAN/PU-656</t>
  </si>
  <si>
    <t>RC-2593</t>
  </si>
  <si>
    <t>25-26/SAN/PU-657</t>
  </si>
  <si>
    <t>RC-2595</t>
  </si>
  <si>
    <t>25-26/SAN/PU-658</t>
  </si>
  <si>
    <t>RC-2596</t>
  </si>
  <si>
    <t>25-26/SAN/PU-659</t>
  </si>
  <si>
    <t>RCC-2597</t>
  </si>
  <si>
    <t>25-26/SAN/PU-660</t>
  </si>
  <si>
    <t>RC-2598</t>
  </si>
  <si>
    <t>25-26/SAN/PU-661</t>
  </si>
  <si>
    <t>RC-2604</t>
  </si>
  <si>
    <t>RAHUL TEXTILES</t>
  </si>
  <si>
    <t>25-26/SAN/PU-469</t>
  </si>
  <si>
    <t>RT-137</t>
  </si>
  <si>
    <t>2025-26/137</t>
  </si>
  <si>
    <t>RANCHI HANDLOOM PRIVATE LIMITED</t>
  </si>
  <si>
    <t>26-27/SAN/PU-148</t>
  </si>
  <si>
    <t>RHPL 4499</t>
  </si>
  <si>
    <t>26-27/SAN/PU-150</t>
  </si>
  <si>
    <t>RHPL 4490</t>
  </si>
  <si>
    <t>26-27/SAN/PU-151</t>
  </si>
  <si>
    <t>RHPL 4457</t>
  </si>
  <si>
    <t>RATHOD SAREE EDITIONS</t>
  </si>
  <si>
    <t>25-26/SAN/PU-170</t>
  </si>
  <si>
    <t>RSE-2080</t>
  </si>
  <si>
    <t>GS02080/25</t>
  </si>
  <si>
    <t>25-26/SAN/PU-201</t>
  </si>
  <si>
    <t>RSE-2623</t>
  </si>
  <si>
    <t>GS02623/25</t>
  </si>
  <si>
    <t>ROHAN FABRICS</t>
  </si>
  <si>
    <t>25-26/SN/PU-663</t>
  </si>
  <si>
    <t>RF-4098</t>
  </si>
  <si>
    <t>25-26/SAN/PU-687</t>
  </si>
  <si>
    <t>RF-4164</t>
  </si>
  <si>
    <t>ROMSHAY FABRICS</t>
  </si>
  <si>
    <t>SAN/PU-366</t>
  </si>
  <si>
    <t>RF-1333/G</t>
  </si>
  <si>
    <t>1333/G</t>
  </si>
  <si>
    <t>₹ 141,875.00</t>
  </si>
  <si>
    <t>ROOP RANGI</t>
  </si>
  <si>
    <t>SAN/PU-096</t>
  </si>
  <si>
    <t>RR-826</t>
  </si>
  <si>
    <t>₹ 44,736.00</t>
  </si>
  <si>
    <t>RUH CREATION</t>
  </si>
  <si>
    <t>25-26/SAN/PU-728</t>
  </si>
  <si>
    <t>RC-1303</t>
  </si>
  <si>
    <t>S K GARMENTS</t>
  </si>
  <si>
    <t>25-26/SAN/PU-732</t>
  </si>
  <si>
    <t>SKG-1744</t>
  </si>
  <si>
    <t>25-26/SAN/PU-757</t>
  </si>
  <si>
    <t>SKG-1779</t>
  </si>
  <si>
    <t>25-26/SAN/PU-763</t>
  </si>
  <si>
    <t>SKG-1802</t>
  </si>
  <si>
    <t>25-26/SAN/PU-764</t>
  </si>
  <si>
    <t>SKG-1803</t>
  </si>
  <si>
    <t>SAAKSH APPARELS</t>
  </si>
  <si>
    <t>25-26/SAN/PU-319</t>
  </si>
  <si>
    <t>SA-69</t>
  </si>
  <si>
    <t>SA69/25-26</t>
  </si>
  <si>
    <t>SAGAR TEXTILES</t>
  </si>
  <si>
    <t>25-26/SAN/PU-782</t>
  </si>
  <si>
    <t>ST-1287</t>
  </si>
  <si>
    <t>GST/25-26/1287</t>
  </si>
  <si>
    <t>SHIV SHAKTI TEXTILES</t>
  </si>
  <si>
    <t>25-26/SAN/PU-715</t>
  </si>
  <si>
    <t>SST-3640</t>
  </si>
  <si>
    <t>25-26/SAN/PU-721</t>
  </si>
  <si>
    <t>SST-3838</t>
  </si>
  <si>
    <t>SHIVALI ICONIC TRENDS PVT LTD</t>
  </si>
  <si>
    <t>25-26/SAN/PU-654</t>
  </si>
  <si>
    <t>SHIVALI-22561</t>
  </si>
  <si>
    <t>TI-22561</t>
  </si>
  <si>
    <t>25-26/SAN/PU-667</t>
  </si>
  <si>
    <t>SHIVALI-22827</t>
  </si>
  <si>
    <t>TI-22827</t>
  </si>
  <si>
    <t>25-26/SAN/PU-668</t>
  </si>
  <si>
    <t>SHIVALI-22781</t>
  </si>
  <si>
    <t>TI-22781</t>
  </si>
  <si>
    <t>25-26/SAN/PU-685</t>
  </si>
  <si>
    <t>SHIVALI-22673</t>
  </si>
  <si>
    <t>TI-22673</t>
  </si>
  <si>
    <t>SHREE BALAJI</t>
  </si>
  <si>
    <t>26-27/SAN/PU-018</t>
  </si>
  <si>
    <t>SB/2026-27/8</t>
  </si>
  <si>
    <t>26-27/SAN/PU-17</t>
  </si>
  <si>
    <t>SB/2026-27/7</t>
  </si>
  <si>
    <t>26-27/SAN/PU-16</t>
  </si>
  <si>
    <t>SB/2026-27/6</t>
  </si>
  <si>
    <t>26-27/SAN/PU-15</t>
  </si>
  <si>
    <t>SB/2026-27/5</t>
  </si>
  <si>
    <t>26-27/SAN/PU-14</t>
  </si>
  <si>
    <t>SB/2026-27/4</t>
  </si>
  <si>
    <t>SHREE MANOJ APPAREL</t>
  </si>
  <si>
    <t>25-26/SAN/PU-206</t>
  </si>
  <si>
    <t>SMA-106</t>
  </si>
  <si>
    <t>SMA/106/25-26</t>
  </si>
  <si>
    <t>25-26/SAN/PU-344</t>
  </si>
  <si>
    <t>SMA-567</t>
  </si>
  <si>
    <t>SMAB/0567/2526</t>
  </si>
  <si>
    <t>25-26/SAN/PU-431</t>
  </si>
  <si>
    <t>SMA-142</t>
  </si>
  <si>
    <t>SMA/142/25-26</t>
  </si>
  <si>
    <t>25-26/SAN/PU-553</t>
  </si>
  <si>
    <t>SMA-216</t>
  </si>
  <si>
    <t>SMA/216/25-26</t>
  </si>
  <si>
    <t>25-26/SAN/PU-554</t>
  </si>
  <si>
    <t>SMA-169</t>
  </si>
  <si>
    <t>SMA/169/25-26</t>
  </si>
  <si>
    <t>SHREE NARAYANI ENTERPRISES</t>
  </si>
  <si>
    <t>26-27/SAN/PU/68</t>
  </si>
  <si>
    <t>P2CRS26/322</t>
  </si>
  <si>
    <t>26-27/SAN/PU/137</t>
  </si>
  <si>
    <t>P2CRS26/671</t>
  </si>
  <si>
    <t>SITARAM CREATION PVT LTD</t>
  </si>
  <si>
    <t>26-27/SAN/PU-101</t>
  </si>
  <si>
    <t>SITARAM/26-27/881</t>
  </si>
  <si>
    <t>TARUN APPARELS</t>
  </si>
  <si>
    <t>26-27-SAN/PU-142</t>
  </si>
  <si>
    <t>MDCRS26/928</t>
  </si>
  <si>
    <t>THE APPAREL COMPANY</t>
  </si>
  <si>
    <t>25-26/SAN/PU-490</t>
  </si>
  <si>
    <t>TAC-2014</t>
  </si>
  <si>
    <t>TAC/02014/25-26</t>
  </si>
  <si>
    <t>25-26/SAN/PU-674</t>
  </si>
  <si>
    <t>TAC-02467</t>
  </si>
  <si>
    <t>TAC/02467/25-26</t>
  </si>
  <si>
    <t>25-26/SAN/PU-733</t>
  </si>
  <si>
    <t>TAC-02658</t>
  </si>
  <si>
    <t>TAC/02658/25-26</t>
  </si>
  <si>
    <t>TRIRANGA</t>
  </si>
  <si>
    <t>25-26/SAN/PU-631</t>
  </si>
  <si>
    <t>TIRANGA-1126</t>
  </si>
  <si>
    <t>V N TEXTILES</t>
  </si>
  <si>
    <t>26-27/SAN/PU-88</t>
  </si>
  <si>
    <t>VN/GI26/455</t>
  </si>
  <si>
    <t>VARIETY TEXTILES</t>
  </si>
  <si>
    <t>26/27/SAN/PU-004VT-400</t>
  </si>
  <si>
    <t>VT/400</t>
  </si>
  <si>
    <t>26-27/SAN/PU-005VT-396</t>
  </si>
  <si>
    <t>VT-396</t>
  </si>
  <si>
    <t>26-27/SAN/PU-006/VT-395</t>
  </si>
  <si>
    <t>VT-395</t>
  </si>
  <si>
    <t>26-27/SAN/PU-007VT-359</t>
  </si>
  <si>
    <t>VT-359</t>
  </si>
  <si>
    <t>26-27/SAN/PU-008-VT-356</t>
  </si>
  <si>
    <t>VT-356</t>
  </si>
  <si>
    <t>26-27/SAN/PU-009-VT-237</t>
  </si>
  <si>
    <t>VT-237</t>
  </si>
  <si>
    <t>26-27/SAN/PU-012-VT-401</t>
  </si>
  <si>
    <t>VT-401</t>
  </si>
  <si>
    <t>26-27/SAN/PU-013-VT-604</t>
  </si>
  <si>
    <t>VT-601</t>
  </si>
  <si>
    <t>26-27/SAN/PU-020-VT-678</t>
  </si>
  <si>
    <t>VT-678</t>
  </si>
  <si>
    <t>26-27/SAN/PU-021VT-758</t>
  </si>
  <si>
    <t>VT-758</t>
  </si>
  <si>
    <t>26-27/SAN/PU-71</t>
  </si>
  <si>
    <t>VT26-27/6561</t>
  </si>
  <si>
    <t>26-27/SAN/PU-62</t>
  </si>
  <si>
    <t>VT26-27/6535</t>
  </si>
  <si>
    <t>26-27/SAN/PU-63</t>
  </si>
  <si>
    <t>VT 26-27/6538</t>
  </si>
  <si>
    <t>26-27/SAN/PU-64</t>
  </si>
  <si>
    <t>VT-26-27/6545</t>
  </si>
  <si>
    <t>26-27/SAN/PU-61</t>
  </si>
  <si>
    <t>VT-26-27/6637</t>
  </si>
  <si>
    <t>26-27/SAN/PU-72</t>
  </si>
  <si>
    <t>VAT.TEXTILES/26-27/6539</t>
  </si>
  <si>
    <t>26-27/SAN PU 82</t>
  </si>
  <si>
    <t>VT/26-27/7635</t>
  </si>
  <si>
    <t>VARIETY TEXTILES (READYMADE)</t>
  </si>
  <si>
    <t>26-27/SAN/PU-90</t>
  </si>
  <si>
    <t>VTRD/A900</t>
  </si>
  <si>
    <t>VARUN FAISHON</t>
  </si>
  <si>
    <t>26-27/SAN/PU-52</t>
  </si>
  <si>
    <t>VF-74</t>
  </si>
  <si>
    <t>VISHAL MARKETING &amp; COMPANY</t>
  </si>
  <si>
    <t>25-26/SAN/PU-784</t>
  </si>
  <si>
    <t>VMC-3305</t>
  </si>
  <si>
    <t>S/25-26/3305</t>
  </si>
  <si>
    <t>25-26/SAN/PU-843</t>
  </si>
  <si>
    <t>VMC-3656</t>
  </si>
  <si>
    <t>S/25-26/3656</t>
  </si>
  <si>
    <t>26-27/SAN/PU-89</t>
  </si>
  <si>
    <t>S/26-27/292</t>
  </si>
  <si>
    <t>WILSON PRINTS</t>
  </si>
  <si>
    <t>25-26/SAN/PU-635</t>
  </si>
  <si>
    <t>WP-2620</t>
  </si>
  <si>
    <t>25-26/SAN/PU-636</t>
  </si>
  <si>
    <t>WP-2619</t>
  </si>
  <si>
    <t>ZAHEDA SILK SAREES</t>
  </si>
  <si>
    <t>SAN/PU-512</t>
  </si>
  <si>
    <t>ZSS-36</t>
  </si>
  <si>
    <t>(24-25)/36</t>
  </si>
  <si>
    <t>₹ 61,429.00</t>
  </si>
  <si>
    <t>25-26/SAN/PU-081</t>
  </si>
  <si>
    <t>ZSS-2</t>
  </si>
  <si>
    <t>(25-26)/2</t>
  </si>
  <si>
    <t>City Wise Supplier Balance Due Report</t>
  </si>
  <si>
    <t>Purchases
(A)</t>
  </si>
  <si>
    <t>Payments+GR
(B)</t>
  </si>
  <si>
    <t>Balance Payable
(A-B)</t>
  </si>
  <si>
    <t>A P TEXTILES</t>
  </si>
  <si>
    <t>AADINATH LIFE STYLE</t>
  </si>
  <si>
    <t>AAFIYA TEXTILE</t>
  </si>
  <si>
    <t>ADITYA BIRLA FASHION &amp; RETAIL LIMITED</t>
  </si>
  <si>
    <t>AGGARWAL TEXTILES</t>
  </si>
  <si>
    <t>AJJAWAM DESIGNER PRIVATE LIMITED</t>
  </si>
  <si>
    <t>AMOHA TRENDZ</t>
  </si>
  <si>
    <t>ANUSHTHAN SILK MILLS</t>
  </si>
  <si>
    <t>₹ 84,682.00</t>
  </si>
  <si>
    <t>ASHMITA BOUTIQUE PVT. LTD.</t>
  </si>
  <si>
    <t>₹ 1,464,063.00</t>
  </si>
  <si>
    <t>₹ 1,468,814.00</t>
  </si>
  <si>
    <t>₹ (4,751.00)</t>
  </si>
  <si>
    <t>AURA ATTIRE</t>
  </si>
  <si>
    <t>₹ 627,401.00</t>
  </si>
  <si>
    <t>₹ 631,774.00</t>
  </si>
  <si>
    <t>₹ (4,373.00)</t>
  </si>
  <si>
    <t>B K ENTERPRISES</t>
  </si>
  <si>
    <t>₹ 555,069.00</t>
  </si>
  <si>
    <t>B K SILK MILLS NX LLP</t>
  </si>
  <si>
    <t>₹ 569,565.00</t>
  </si>
  <si>
    <t>B R &amp; SONS</t>
  </si>
  <si>
    <t>₹ 477,687.00</t>
  </si>
  <si>
    <t>BABY DRESSES</t>
  </si>
  <si>
    <t>₹ 277,426.00</t>
  </si>
  <si>
    <t>BAGS &amp; WALLETS</t>
  </si>
  <si>
    <t>₹ 10,900.00</t>
  </si>
  <si>
    <t>BALAJI</t>
  </si>
  <si>
    <t>₹ 105,291.00</t>
  </si>
  <si>
    <t>BALAJI FASHION</t>
  </si>
  <si>
    <t>₹ 79,166.00</t>
  </si>
  <si>
    <t>BANSAL TEXTILES</t>
  </si>
  <si>
    <t>₹ 52,428.00</t>
  </si>
  <si>
    <t>₹ 1,372,778.00</t>
  </si>
  <si>
    <t>₹ 1,339,560.00</t>
  </si>
  <si>
    <t>₹ 33,218.00</t>
  </si>
  <si>
    <t>BHAGWATEE FASHIONS</t>
  </si>
  <si>
    <t>₹ 383,051.00</t>
  </si>
  <si>
    <t>₹ 313,679.00</t>
  </si>
  <si>
    <t>₹ 236,256.00</t>
  </si>
  <si>
    <t>₹ 77,423.00</t>
  </si>
  <si>
    <t>BHAKTI COLLECTION</t>
  </si>
  <si>
    <t>₹ 40,089.00</t>
  </si>
  <si>
    <t>BONNYS NX</t>
  </si>
  <si>
    <t>₹ 92,090.00</t>
  </si>
  <si>
    <t>CAUL FASHION</t>
  </si>
  <si>
    <t>₹ 45,231.00</t>
  </si>
  <si>
    <t>CHINTAMANI SAREES</t>
  </si>
  <si>
    <t>₹ 282,587.00</t>
  </si>
  <si>
    <t>CHOICE FASHION</t>
  </si>
  <si>
    <t>₹ 50,098.00</t>
  </si>
  <si>
    <t>CRYSTAL BY TARUN DESIGNER PRIVATED LIMITED</t>
  </si>
  <si>
    <t>₹ 18,116.00</t>
  </si>
  <si>
    <t>D S CREATION</t>
  </si>
  <si>
    <t>₹ 303,240.00</t>
  </si>
  <si>
    <t>₹ 406,843.00</t>
  </si>
  <si>
    <t>DEVANSHI CREATION</t>
  </si>
  <si>
    <t>₹ 57,506.00</t>
  </si>
  <si>
    <t>₹ 64,058.00</t>
  </si>
  <si>
    <t>₹ (6,552.00)</t>
  </si>
  <si>
    <t>DEVTA GARMENTS</t>
  </si>
  <si>
    <t>₹ 390,307.00</t>
  </si>
  <si>
    <t>DIL SE</t>
  </si>
  <si>
    <t>₹ 46,540.00</t>
  </si>
  <si>
    <t>EK OMKAR</t>
  </si>
  <si>
    <t>₹ 90,651.00</t>
  </si>
  <si>
    <t>₹ 65,630.00</t>
  </si>
  <si>
    <t>₹ 25,021.00</t>
  </si>
  <si>
    <t>EMPORIO SIDDHARTH SALES PVT LTD</t>
  </si>
  <si>
    <t>₹ 406,311.00</t>
  </si>
  <si>
    <t>EUROPE ONE</t>
  </si>
  <si>
    <t>₹ 46,962.00</t>
  </si>
  <si>
    <t>FABUSTARS</t>
  </si>
  <si>
    <t>₹ 58,568.00</t>
  </si>
  <si>
    <t>₹ 31,379.00</t>
  </si>
  <si>
    <t>₹ 20,709.00</t>
  </si>
  <si>
    <t>₹ 10,670.00</t>
  </si>
  <si>
    <t>FASHION WORLD</t>
  </si>
  <si>
    <t>₹ 149,137.00</t>
  </si>
  <si>
    <t>FASHION WORLD GARMENTS PVT. LTD.</t>
  </si>
  <si>
    <t>₹ 2,786,547.00</t>
  </si>
  <si>
    <t>₹ 701,298.00</t>
  </si>
  <si>
    <t>₹ 474,130.00</t>
  </si>
  <si>
    <t>₹ 227,168.00</t>
  </si>
  <si>
    <t>G K TEXTILE</t>
  </si>
  <si>
    <t>₹ 438,589.00</t>
  </si>
  <si>
    <t>₹ 440,882.00</t>
  </si>
  <si>
    <t>₹ (2,293.00)</t>
  </si>
  <si>
    <t>GAJENDRA OVERSEAS</t>
  </si>
  <si>
    <t>₹ 508,977.00</t>
  </si>
  <si>
    <t>GALA CREATION</t>
  </si>
  <si>
    <t>₹ 39,051.00</t>
  </si>
  <si>
    <t>GANESH TRADING CORPORATION</t>
  </si>
  <si>
    <t>₹ 95,993.00</t>
  </si>
  <si>
    <t>GANPATI FASHION</t>
  </si>
  <si>
    <t>₹ 272,657.00</t>
  </si>
  <si>
    <t>₹ 273,655.00</t>
  </si>
  <si>
    <t>₹ (998.00)</t>
  </si>
  <si>
    <t>GARG HOSIERY WORKS</t>
  </si>
  <si>
    <t>₹ 623,647.00</t>
  </si>
  <si>
    <t>₹ 625,044.00</t>
  </si>
  <si>
    <t>₹ (1,397.00)</t>
  </si>
  <si>
    <t>₹ 1,867,179.00</t>
  </si>
  <si>
    <t>₹ 1,718,542.00</t>
  </si>
  <si>
    <t>₹ 148,637.00</t>
  </si>
  <si>
    <t>GOLD PAR KNITWEARS</t>
  </si>
  <si>
    <t>₹ 173,769.00</t>
  </si>
  <si>
    <t>₹ 131,360.00</t>
  </si>
  <si>
    <t>GURU NANAK</t>
  </si>
  <si>
    <t>₹ 19,255.00</t>
  </si>
  <si>
    <t>₹ 543,850.00</t>
  </si>
  <si>
    <t>₹ 450,000.00</t>
  </si>
  <si>
    <t>₹ 93,850.00</t>
  </si>
  <si>
    <t>HANUMANTA CREATION</t>
  </si>
  <si>
    <t>₹ 92,434.00</t>
  </si>
  <si>
    <t>HARDIK DESIGNER</t>
  </si>
  <si>
    <t>₹ 105,256.00</t>
  </si>
  <si>
    <t>₹ 106,091.00</t>
  </si>
  <si>
    <t>₹ (835.00)</t>
  </si>
  <si>
    <t>HIRAWAT</t>
  </si>
  <si>
    <t>₹ 349,585.00</t>
  </si>
  <si>
    <t>₹ 352,782.00</t>
  </si>
  <si>
    <t>₹ (3,197.00)</t>
  </si>
  <si>
    <t>HIRAWAT CREATIONS</t>
  </si>
  <si>
    <t>₹ 266,638.00</t>
  </si>
  <si>
    <t>HITESH NX</t>
  </si>
  <si>
    <t>₹ 43,307.00</t>
  </si>
  <si>
    <t>HOSHIYAR SINGH SURESH CHANDRA SAREES PVT. LTD.</t>
  </si>
  <si>
    <t>₹ 163,045.00</t>
  </si>
  <si>
    <t>ISHWAR WOOLTEX</t>
  </si>
  <si>
    <t>₹ 70,518.00</t>
  </si>
  <si>
    <t>₹ 270,597.00</t>
  </si>
  <si>
    <t>₹ 111,476.00</t>
  </si>
  <si>
    <t>₹ 159,121.00</t>
  </si>
  <si>
    <t>JAI DESIGNER</t>
  </si>
  <si>
    <t>₹ 173,613.00</t>
  </si>
  <si>
    <t>JAI MATA DI FABRICS</t>
  </si>
  <si>
    <t>₹ 154,235.00</t>
  </si>
  <si>
    <t>₹ 155,824.00</t>
  </si>
  <si>
    <t>₹ (1,589.00)</t>
  </si>
  <si>
    <t>JAI SHREE SHYAM CREATION</t>
  </si>
  <si>
    <t>₹ 149,598.00</t>
  </si>
  <si>
    <t>₹ 266,574.00</t>
  </si>
  <si>
    <t>₹ 139,425.00</t>
  </si>
  <si>
    <t>₹ 127,149.00</t>
  </si>
  <si>
    <t>JAIN DAULAT HOSIERY</t>
  </si>
  <si>
    <t>₹ 183,738.00</t>
  </si>
  <si>
    <t>JAIN SILK AND SAREES</t>
  </si>
  <si>
    <t>₹ 28,665.00</t>
  </si>
  <si>
    <t>JAY AMBEY DESIGNER</t>
  </si>
  <si>
    <t>₹ 174,747.00</t>
  </si>
  <si>
    <t>JAY AMBEY FASHION</t>
  </si>
  <si>
    <t>₹ 220,732.00</t>
  </si>
  <si>
    <t>JAY AMBEY SAREES</t>
  </si>
  <si>
    <t>₹ 121,262.00</t>
  </si>
  <si>
    <t>JAY AMBEY SILK MILLS</t>
  </si>
  <si>
    <t>₹ 59,197.00</t>
  </si>
  <si>
    <t>₹ 60,872.00</t>
  </si>
  <si>
    <t>₹ (1,675.00)</t>
  </si>
  <si>
    <t>JEWELRY RANCHI</t>
  </si>
  <si>
    <t>₹ 1,497.00</t>
  </si>
  <si>
    <t>₹ 543,988.00</t>
  </si>
  <si>
    <t>₹ 343,988.00</t>
  </si>
  <si>
    <t>₹ 200,000.00</t>
  </si>
  <si>
    <t>₹ 182,377.00</t>
  </si>
  <si>
    <t>₹ 70,014.00</t>
  </si>
  <si>
    <t>₹ 112,363.00</t>
  </si>
  <si>
    <t>KASHNI</t>
  </si>
  <si>
    <t>₹ 65,819.00</t>
  </si>
  <si>
    <t>KEDARNATH RAJIV KUMAR</t>
  </si>
  <si>
    <t>₹ 540,730.00</t>
  </si>
  <si>
    <t>₹ 191,674.00</t>
  </si>
  <si>
    <t>KIMORA FASHION PRIVATE LIMITED</t>
  </si>
  <si>
    <t>₹ 62,558.00</t>
  </si>
  <si>
    <t>₹ 698,652.00</t>
  </si>
  <si>
    <t>₹ 598,652.00</t>
  </si>
  <si>
    <t>₹ 100,000.00</t>
  </si>
  <si>
    <t>₹ 95,832.00</t>
  </si>
  <si>
    <t>₹ 67,236.00</t>
  </si>
  <si>
    <t>₹ 28,596.00</t>
  </si>
  <si>
    <t>KODAK SAREES AND DUPATTA</t>
  </si>
  <si>
    <t>₹ 109,457.00</t>
  </si>
  <si>
    <t>KRIPA TRADERS</t>
  </si>
  <si>
    <t>₹ 196,269.00</t>
  </si>
  <si>
    <t>KRISHNA FABS</t>
  </si>
  <si>
    <t>₹ 176,324.00</t>
  </si>
  <si>
    <t>KRR AGENCY</t>
  </si>
  <si>
    <t>₹ 76,782.00</t>
  </si>
  <si>
    <t>LADDU PRINTS</t>
  </si>
  <si>
    <t>₹ 128,835.00</t>
  </si>
  <si>
    <t>LAVANYA</t>
  </si>
  <si>
    <t>₹ 30,130.00</t>
  </si>
  <si>
    <t>LAXMI FASHION</t>
  </si>
  <si>
    <t>₹ 86,483.00</t>
  </si>
  <si>
    <t>₹ 531,416.00</t>
  </si>
  <si>
    <t>₹ 126,782.00</t>
  </si>
  <si>
    <t>₹ 404,634.00</t>
  </si>
  <si>
    <t>LEKHUS COLLECTION PRIVATE LIMITED</t>
  </si>
  <si>
    <t>₹ 136,515.00</t>
  </si>
  <si>
    <t>M B ENTERPRISES</t>
  </si>
  <si>
    <t>₹ 163,760.00</t>
  </si>
  <si>
    <t>MADAM</t>
  </si>
  <si>
    <t>₹ 65,934.00</t>
  </si>
  <si>
    <t>MADHURI CREATION</t>
  </si>
  <si>
    <t>₹ 415,664.00</t>
  </si>
  <si>
    <t>MALHOTRA STORES</t>
  </si>
  <si>
    <t>₹ 183,650.00</t>
  </si>
  <si>
    <t>MANIK RUMAL FACTORY</t>
  </si>
  <si>
    <t>₹ 8,064.00</t>
  </si>
  <si>
    <t>MANISH HANDLOOM</t>
  </si>
  <si>
    <t>₹ 421,277.00</t>
  </si>
  <si>
    <t>₹ 449,783.00</t>
  </si>
  <si>
    <t>₹ (28,506.00)</t>
  </si>
  <si>
    <t>MANOHAR SONS</t>
  </si>
  <si>
    <t>₹ 497,481.00</t>
  </si>
  <si>
    <t>MANOJ DRESS MATERIAL</t>
  </si>
  <si>
    <t>₹ 31,201.00</t>
  </si>
  <si>
    <t>₹ 44,251.00</t>
  </si>
  <si>
    <t>MEEVA</t>
  </si>
  <si>
    <t>₹ 52,752.00</t>
  </si>
  <si>
    <t>MINI LUGGAGE</t>
  </si>
  <si>
    <t>₹ 33,317.00</t>
  </si>
  <si>
    <t>₹ 880,204.00</t>
  </si>
  <si>
    <t>₹ 837,846.00</t>
  </si>
  <si>
    <t>₹ 42,358.00</t>
  </si>
  <si>
    <t>MITTAL SAREES</t>
  </si>
  <si>
    <t>₹ 25,169.00</t>
  </si>
  <si>
    <t>MOON HANDLOOM</t>
  </si>
  <si>
    <t>₹ 220,961.00</t>
  </si>
  <si>
    <t>MORVINANDAN</t>
  </si>
  <si>
    <t>₹ 157,677.00</t>
  </si>
  <si>
    <t>₹ 159,986.00</t>
  </si>
  <si>
    <t>₹ (2,309.00)</t>
  </si>
  <si>
    <t>MUKESH DUPATTA HOUSE</t>
  </si>
  <si>
    <t>₹ 29,546.00</t>
  </si>
  <si>
    <t>MUMBAI JEWELRY</t>
  </si>
  <si>
    <t>₹ 9,271.00</t>
  </si>
  <si>
    <t>₹ 199,119.00</t>
  </si>
  <si>
    <t>₹ 178,976.00</t>
  </si>
  <si>
    <t>₹ 20,143.00</t>
  </si>
  <si>
    <t>N R GARMENTS</t>
  </si>
  <si>
    <t>₹ 172,323.00</t>
  </si>
  <si>
    <t>₹ 175,437.00</t>
  </si>
  <si>
    <t>₹ (3,114.00)</t>
  </si>
  <si>
    <t>₹ 397,625.00</t>
  </si>
  <si>
    <t>NARVADA TEXTILES</t>
  </si>
  <si>
    <t>₹ 21,680.00</t>
  </si>
  <si>
    <t>₹ 21,590.00</t>
  </si>
  <si>
    <t>₹ 90.00</t>
  </si>
  <si>
    <t>₹ 330,519.00</t>
  </si>
  <si>
    <t>₹ 145,467.00</t>
  </si>
  <si>
    <t>₹ 185,052.00</t>
  </si>
  <si>
    <t>NICE BOY</t>
  </si>
  <si>
    <t>₹ 76,493.00</t>
  </si>
  <si>
    <t>OEQUAL</t>
  </si>
  <si>
    <t>₹ 46,004.00</t>
  </si>
  <si>
    <t>OM GANPATI ENTERPRISES</t>
  </si>
  <si>
    <t>₹ 401,142.00</t>
  </si>
  <si>
    <t>₹ 92,882.00</t>
  </si>
  <si>
    <t>₹ 79,582.00</t>
  </si>
  <si>
    <t>₹ 13,300.00</t>
  </si>
  <si>
    <t>OMKAR CREATION</t>
  </si>
  <si>
    <t>₹ 110,523.00</t>
  </si>
  <si>
    <t>OPA INDIA</t>
  </si>
  <si>
    <t>₹ 97,614.00</t>
  </si>
  <si>
    <t>₹ 203,584.00</t>
  </si>
  <si>
    <t>₹ 119,274.00</t>
  </si>
  <si>
    <t>₹ 84,310.00</t>
  </si>
  <si>
    <t>₹ 1,391,619.00</t>
  </si>
  <si>
    <t>₹ 1,228,025.00</t>
  </si>
  <si>
    <t>₹ 163,594.00</t>
  </si>
  <si>
    <t>PARI DESIGNER</t>
  </si>
  <si>
    <t>₹ 206,446.00</t>
  </si>
  <si>
    <t>₹ 288,330.00</t>
  </si>
  <si>
    <t>₹ 91,560.00</t>
  </si>
  <si>
    <t>₹ 196,770.00</t>
  </si>
  <si>
    <t>₹ 193,872.00</t>
  </si>
  <si>
    <t>₹ 85,176.00</t>
  </si>
  <si>
    <t>₹ 108,696.00</t>
  </si>
  <si>
    <t>PLAZER FABRICS</t>
  </si>
  <si>
    <t>₹ 105,134.00</t>
  </si>
  <si>
    <t>₹ 2,150,739.00</t>
  </si>
  <si>
    <t>₹ 1,334,828.00</t>
  </si>
  <si>
    <t>₹ 815,911.00</t>
  </si>
  <si>
    <t>₹ 202,309.00</t>
  </si>
  <si>
    <t>₹ 10,316.00</t>
  </si>
  <si>
    <t>₹ 191,993.00</t>
  </si>
  <si>
    <t>PRAKASH CREATION</t>
  </si>
  <si>
    <t>₹ 31,454.00</t>
  </si>
  <si>
    <t>PRAKASH TRADERS</t>
  </si>
  <si>
    <t>₹ 168,746.00</t>
  </si>
  <si>
    <t>PRATHAM FASHION DESIGNERS PRIVATE LIMITED</t>
  </si>
  <si>
    <t>₹ 385,956.00</t>
  </si>
  <si>
    <t>PREM CLOTHING</t>
  </si>
  <si>
    <t>₹ 346,306.00</t>
  </si>
  <si>
    <t>₹ 412,506.00</t>
  </si>
  <si>
    <t>₹ (66,200.00)</t>
  </si>
  <si>
    <t>₹ 270,412.00</t>
  </si>
  <si>
    <t>₹ 170,412.00</t>
  </si>
  <si>
    <t>PROMO OFFER</t>
  </si>
  <si>
    <t>₹ 21,450.00</t>
  </si>
  <si>
    <t>PUNEET READYMADE GARMENTS</t>
  </si>
  <si>
    <t>₹ 719,163.00</t>
  </si>
  <si>
    <t>PURVA ASSOCIATES</t>
  </si>
  <si>
    <t>₹ 160,910.00</t>
  </si>
  <si>
    <t>₹ 165,827.00</t>
  </si>
  <si>
    <t>₹ (4,917.00)</t>
  </si>
  <si>
    <t>₹ 1,008,937.00</t>
  </si>
  <si>
    <t>₹ 400,000.00</t>
  </si>
  <si>
    <t>₹ 608,937.00</t>
  </si>
  <si>
    <t>R K OSWAL KNIT INDIA</t>
  </si>
  <si>
    <t>₹ 168,633.00</t>
  </si>
  <si>
    <t>R R CORPORATION</t>
  </si>
  <si>
    <t>₹ 207,921.00</t>
  </si>
  <si>
    <t>R R FASHION</t>
  </si>
  <si>
    <t>₹ 211,350.00</t>
  </si>
  <si>
    <t>₹ 215,545.00</t>
  </si>
  <si>
    <t>₹ (4,195.00)</t>
  </si>
  <si>
    <t>RADHA MADHAV NX</t>
  </si>
  <si>
    <t>₹ 343,992.00</t>
  </si>
  <si>
    <t>₹ 65,782.00</t>
  </si>
  <si>
    <t>RAINBOW MARKETING</t>
  </si>
  <si>
    <t>₹ 161,879.00</t>
  </si>
  <si>
    <t>₹ 421,053.00</t>
  </si>
  <si>
    <t>₹ 209,484.00</t>
  </si>
  <si>
    <t>₹ 211,569.00</t>
  </si>
  <si>
    <t>RANGI SANGI LLP</t>
  </si>
  <si>
    <t>₹ 281,623.00</t>
  </si>
  <si>
    <t>₹ 101,247.00</t>
  </si>
  <si>
    <t>₹ 1,780.00</t>
  </si>
  <si>
    <t>₹ 99,467.00</t>
  </si>
  <si>
    <t>RC (JWELLERY)</t>
  </si>
  <si>
    <t>₹ 34,590.00</t>
  </si>
  <si>
    <t>₹ 209,664.00</t>
  </si>
  <si>
    <t>₹ 66,302.00</t>
  </si>
  <si>
    <t>₹ 143,362.00</t>
  </si>
  <si>
    <t>₹ 292,006.00</t>
  </si>
  <si>
    <t>₹ 284,539.00</t>
  </si>
  <si>
    <t>₹ 7,467.00</t>
  </si>
  <si>
    <t>ROOP JI APPARELS PRIVATE LIMITED</t>
  </si>
  <si>
    <t>₹ 47,058.00</t>
  </si>
  <si>
    <t>₹ 49,431.00</t>
  </si>
  <si>
    <t>₹ 4,695.00</t>
  </si>
  <si>
    <t>ROOP RASHMI UDYOG</t>
  </si>
  <si>
    <t>₹ 314,945.00</t>
  </si>
  <si>
    <t>₹ 318,466.00</t>
  </si>
  <si>
    <t>₹ (3,521.00)</t>
  </si>
  <si>
    <t>ROOP SILK AND SAREES</t>
  </si>
  <si>
    <t>₹ 97,183.00</t>
  </si>
  <si>
    <t>RUBY SAREE HOUSE PVT LTD</t>
  </si>
  <si>
    <t>₹ 165,449.00</t>
  </si>
  <si>
    <t>₹ 173,327.00</t>
  </si>
  <si>
    <t>₹ (7,878.00)</t>
  </si>
  <si>
    <t>₹ 25,568.00</t>
  </si>
  <si>
    <t>S F ENTERPRISES</t>
  </si>
  <si>
    <t>₹ 63,458.00</t>
  </si>
  <si>
    <t>₹ 64,114.00</t>
  </si>
  <si>
    <t>₹ (656.00)</t>
  </si>
  <si>
    <t>₹ 1,505,659.00</t>
  </si>
  <si>
    <t>₹ 1,058,841.00</t>
  </si>
  <si>
    <t>₹ 446,818.00</t>
  </si>
  <si>
    <t>S S SETH SAAB</t>
  </si>
  <si>
    <t>₹ 43,971.00</t>
  </si>
  <si>
    <t>₹ 44,095.00</t>
  </si>
  <si>
    <t>₹ (124.00)</t>
  </si>
  <si>
    <t>SAAJAN STUDIO</t>
  </si>
  <si>
    <t>₹ 484,053.00</t>
  </si>
  <si>
    <t>₹ 133,693.00</t>
  </si>
  <si>
    <t>SACHI COLLECTIONS</t>
  </si>
  <si>
    <t>₹ 214,001.00</t>
  </si>
  <si>
    <t>SAGAR ENTERPRISES</t>
  </si>
  <si>
    <t>₹ 72,665.00</t>
  </si>
  <si>
    <t>₹ 27,195.00</t>
  </si>
  <si>
    <t>SAIYAM SAREES</t>
  </si>
  <si>
    <t>₹ 145,315.00</t>
  </si>
  <si>
    <t>SAMBHAV ENTERPRISES</t>
  </si>
  <si>
    <t>₹ 119,270.00</t>
  </si>
  <si>
    <t>₹ 123,950.00</t>
  </si>
  <si>
    <t>₹ (4,680.00)</t>
  </si>
  <si>
    <t>SAMPAT SACHIN SAREES</t>
  </si>
  <si>
    <t>₹ 912,246.00</t>
  </si>
  <si>
    <t>₹ 916,082.00</t>
  </si>
  <si>
    <t>₹ (3,836.00)</t>
  </si>
  <si>
    <t>SARTHAK CREATION</t>
  </si>
  <si>
    <t>₹ 92,786.00</t>
  </si>
  <si>
    <t>SATYAM KNITWEARS REGD.</t>
  </si>
  <si>
    <t>₹ 352,185.00</t>
  </si>
  <si>
    <t>₹ 352,799.00</t>
  </si>
  <si>
    <t>₹ (614.00)</t>
  </si>
  <si>
    <t>SHAKTI FASHION</t>
  </si>
  <si>
    <t>₹ 1,731,786.00</t>
  </si>
  <si>
    <t>SHAKTI TRADERS</t>
  </si>
  <si>
    <t>₹ 490,582.00</t>
  </si>
  <si>
    <t>SHEETAL FASHION</t>
  </si>
  <si>
    <t>₹ 51,470.00</t>
  </si>
  <si>
    <t>₹ 102,652.00</t>
  </si>
  <si>
    <t>₹ 448,331.00</t>
  </si>
  <si>
    <t>₹ 1,083,604.00</t>
  </si>
  <si>
    <t>₹ 514,972.00</t>
  </si>
  <si>
    <t>₹ 568,632.00</t>
  </si>
  <si>
    <t>SHREE EMPORIUM</t>
  </si>
  <si>
    <t>₹ 1,926,094.00</t>
  </si>
  <si>
    <t>SHREE GARMENTS</t>
  </si>
  <si>
    <t>₹ 1,238,740.00</t>
  </si>
  <si>
    <t>₹ 718,505.00</t>
  </si>
  <si>
    <t>₹ 520,235.00</t>
  </si>
  <si>
    <t>SHREE KUNDAN PRINTS</t>
  </si>
  <si>
    <t>₹ 119,417.00</t>
  </si>
  <si>
    <t>SHREE KUNJ BIHARI SAREE</t>
  </si>
  <si>
    <t>₹ 52,023.00</t>
  </si>
  <si>
    <t>₹ 73,625.00</t>
  </si>
  <si>
    <t>₹ 265,645.00</t>
  </si>
  <si>
    <t>₹ 199,122.00</t>
  </si>
  <si>
    <t>₹ 66,523.00</t>
  </si>
  <si>
    <t>SHREE PRABHU INTERNATIONAL</t>
  </si>
  <si>
    <t>₹ 258,977.00</t>
  </si>
  <si>
    <t>SHREE RADHA STUDIO</t>
  </si>
  <si>
    <t>₹ 52,909.00</t>
  </si>
  <si>
    <t>SHREE SHYAM HANDLOOM</t>
  </si>
  <si>
    <t>₹ 99,965.00</t>
  </si>
  <si>
    <t>SHRI KANHIYA FABRICS PVT. LTD.</t>
  </si>
  <si>
    <t>₹ 87,943.00</t>
  </si>
  <si>
    <t>SHRING APPARELS</t>
  </si>
  <si>
    <t>₹ 460,922.00</t>
  </si>
  <si>
    <t>₹ 461,660.00</t>
  </si>
  <si>
    <t>₹ (738.00)</t>
  </si>
  <si>
    <t>SIDDHARTH ENTERPRISES</t>
  </si>
  <si>
    <t>₹ 494,676.00</t>
  </si>
  <si>
    <t>₹ 553,450.00</t>
  </si>
  <si>
    <t>₹ (58,774.00)</t>
  </si>
  <si>
    <t>SIKOTAR ENTERPRISES</t>
  </si>
  <si>
    <t>₹ 162,149.00</t>
  </si>
  <si>
    <t>₹ 55,598.00</t>
  </si>
  <si>
    <t>SLOK</t>
  </si>
  <si>
    <t>₹ 23,264.00</t>
  </si>
  <si>
    <t>SNEHA ENTERPRISES</t>
  </si>
  <si>
    <t>₹ 233,346.00</t>
  </si>
  <si>
    <t>SREENIDHI NX</t>
  </si>
  <si>
    <t>₹ 178,495.00</t>
  </si>
  <si>
    <t>₹ 105,829.00</t>
  </si>
  <si>
    <t>₹ 72,666.00</t>
  </si>
  <si>
    <t>SRI KRISHNA AGENCIES</t>
  </si>
  <si>
    <t>₹ 370,365.00</t>
  </si>
  <si>
    <t>SRI RADHEY MATCHING CENTER</t>
  </si>
  <si>
    <t>₹ 78,348.00</t>
  </si>
  <si>
    <t>SRI SHAKAMBARI TRADERS</t>
  </si>
  <si>
    <t>₹ 104,783.00</t>
  </si>
  <si>
    <t>SUKHDEV TEXTILES</t>
  </si>
  <si>
    <t>₹ 94,158.00</t>
  </si>
  <si>
    <t>SURBHI CREATION</t>
  </si>
  <si>
    <t>₹ 798,232.00</t>
  </si>
  <si>
    <t>SURMEDANI</t>
  </si>
  <si>
    <t>₹ 68,950.00</t>
  </si>
  <si>
    <t>SWAGAT PRINT</t>
  </si>
  <si>
    <t>₹ 89,072.00</t>
  </si>
  <si>
    <t>TANEJA TEXTILES</t>
  </si>
  <si>
    <t>₹ 109,313.00</t>
  </si>
  <si>
    <t>₹ 100,384.00</t>
  </si>
  <si>
    <t>₹ 92,506.00</t>
  </si>
  <si>
    <t>₹ 7,878.00</t>
  </si>
  <si>
    <t>TATHASTU ENTERPRISE</t>
  </si>
  <si>
    <t>₹ 178,540.00</t>
  </si>
  <si>
    <t>₹ 436,900.00</t>
  </si>
  <si>
    <t>₹ 207,286.00</t>
  </si>
  <si>
    <t>₹ 229,614.00</t>
  </si>
  <si>
    <t>TOUGH ZONE KNITWEARS</t>
  </si>
  <si>
    <t>₹ 152,424.00</t>
  </si>
  <si>
    <t>₹ 154,377.00</t>
  </si>
  <si>
    <t>₹ (1,953.00)</t>
  </si>
  <si>
    <t>₹ 5,900.00</t>
  </si>
  <si>
    <t>UNNATI CREATION</t>
  </si>
  <si>
    <t>₹ 72,299.00</t>
  </si>
  <si>
    <t>USHA FASHION</t>
  </si>
  <si>
    <t>₹ 126,028.00</t>
  </si>
  <si>
    <t>USHA TEXTILES</t>
  </si>
  <si>
    <t>₹ 66,052.00</t>
  </si>
  <si>
    <t>₹ 66,948.00</t>
  </si>
  <si>
    <t>₹ (896.00)</t>
  </si>
  <si>
    <t>USHA TEXTILES RANCHI</t>
  </si>
  <si>
    <t>₹ 460,474.00</t>
  </si>
  <si>
    <t>₹ 430,114.00</t>
  </si>
  <si>
    <t>₹ 30,360.00</t>
  </si>
  <si>
    <t>UTSAV CREATION</t>
  </si>
  <si>
    <t>₹ 56,784.00</t>
  </si>
  <si>
    <t>₹ 57,908.00</t>
  </si>
  <si>
    <t>₹ (1,124.00)</t>
  </si>
  <si>
    <t>V D CREATION</t>
  </si>
  <si>
    <t>₹ 370,630.00</t>
  </si>
  <si>
    <t>₹ 145,331.00</t>
  </si>
  <si>
    <t>₹ 47,494.00</t>
  </si>
  <si>
    <t>₹ 97,837.00</t>
  </si>
  <si>
    <t>VALLABHI PRINTS</t>
  </si>
  <si>
    <t>₹ 184,374.00</t>
  </si>
  <si>
    <t>₹ 193,634.00</t>
  </si>
  <si>
    <t>₹ (9,260.00)</t>
  </si>
  <si>
    <t>VANYA DESIGNER</t>
  </si>
  <si>
    <t>₹ 79,711.00</t>
  </si>
  <si>
    <t>VARAD CONCEPTS</t>
  </si>
  <si>
    <t>₹ 49,189.00</t>
  </si>
  <si>
    <t>VARIETY COLLECTION</t>
  </si>
  <si>
    <t>₹ 357,910.00</t>
  </si>
  <si>
    <t>₹ 4,603,667.00</t>
  </si>
  <si>
    <t>₹ 4,039,762.00</t>
  </si>
  <si>
    <t>₹ 563,905.00</t>
  </si>
  <si>
    <t>₹ 32,748.00</t>
  </si>
  <si>
    <t>₹ 22,468.00</t>
  </si>
  <si>
    <t>₹ 10,280.00</t>
  </si>
  <si>
    <t>VARNIKA ENTERPRISES</t>
  </si>
  <si>
    <t>₹ 1,124,509.00</t>
  </si>
  <si>
    <t>₹ 1,157,071.00</t>
  </si>
  <si>
    <t>₹ (32,562.00)</t>
  </si>
  <si>
    <t>₹ 59,981.00</t>
  </si>
  <si>
    <t>VIANNA TEX PVT LTD</t>
  </si>
  <si>
    <t>₹ 267,884.00</t>
  </si>
  <si>
    <t>VIJAY VALLABH ENTERPRISES</t>
  </si>
  <si>
    <t>₹ 266,305.00</t>
  </si>
  <si>
    <t>VINDHYAVASINI TEXTILES</t>
  </si>
  <si>
    <t>₹ 121,896.00</t>
  </si>
  <si>
    <t>₹ 632,907.00</t>
  </si>
  <si>
    <t>₹ 480,405.00</t>
  </si>
  <si>
    <t>₹ 152,502.00</t>
  </si>
  <si>
    <t>VRAJGOPI CREATION</t>
  </si>
  <si>
    <t>₹ 229,808.00</t>
  </si>
  <si>
    <t>₹ 233,164.00</t>
  </si>
  <si>
    <t>₹ (3,356.00)</t>
  </si>
  <si>
    <t>WEAR ON ENSEMBLES PVT. LTD.</t>
  </si>
  <si>
    <t>₹ 192,971.00</t>
  </si>
  <si>
    <t>WELCOME SAREE CREATION PVT. LTD.</t>
  </si>
  <si>
    <t>₹ 352,232.00</t>
  </si>
  <si>
    <t>₹ 443,600.00</t>
  </si>
  <si>
    <t>₹ 318,519.00</t>
  </si>
  <si>
    <t>₹ 125,081.00</t>
  </si>
  <si>
    <t>WOMAX ENTERPRISES</t>
  </si>
  <si>
    <t>₹ 93,870.00</t>
  </si>
  <si>
    <t>WONDERS</t>
  </si>
  <si>
    <t>₹ 360,328.00</t>
  </si>
  <si>
    <t>YUVATI DESIGNS PRIVATE LIMITED</t>
  </si>
  <si>
    <t>₹ 243,380.00</t>
  </si>
  <si>
    <t>₹ 194,969.00</t>
  </si>
  <si>
    <t>₹ 101,109.00</t>
  </si>
  <si>
    <t>₹ 93,860.00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</si>
</sst>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Inter"/>
    </font>
    <font>
      <sz val="10"/>
      <color rgb="FF434343"/>
      <name val="Inter"/>
    </font>
    <font>
      <b/>
      <sz val="9"/>
      <color rgb="FF434343"/>
      <name val="Inter"/>
    </font>
    <font>
      <b/>
      <sz val="10"/>
      <color rgb="FF753800"/>
      <name val="Inter"/>
    </font>
    <font>
      <b/>
      <sz val="10"/>
      <color rgb="FF666666"/>
      <name val="Inter"/>
    </font>
    <font>
      <b/>
      <sz val="10"/>
      <color rgb="FF434343"/>
      <name val="Inte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6"/>
      <color rgb="FFFFFFFF"/>
      <name val="Inter"/>
    </font>
    <font>
      <b/>
      <i/>
      <sz val="11"/>
      <color rgb="FFFFFFFF"/>
      <name val="Inter"/>
    </font>
    <font>
      <b/>
      <sz val="11"/>
      <color rgb="FFFFFFFF"/>
      <name val="Inter"/>
    </font>
    <font>
      <b/>
      <sz val="10"/>
      <color theme="1"/>
      <name val="Inter"/>
    </font>
    <font>
      <sz val="10"/>
      <color theme="1"/>
      <name val="Inter"/>
    </font>
    <font>
      <b/>
      <sz val="11"/>
      <color theme="1"/>
      <name val="Inter"/>
    </font>
    <font>
      <sz val="11"/>
      <color theme="1"/>
      <name val="Inter"/>
    </font>
    <font>
      <b/>
      <sz val="16"/>
      <color theme="0"/>
      <name val="Inter"/>
    </font>
    <font>
      <sz val="10"/>
      <color theme="0"/>
      <name val="Arial"/>
      <family val="2"/>
    </font>
    <font>
      <b/>
      <i/>
      <sz val="11"/>
      <color theme="0"/>
      <name val="Inter"/>
    </font>
    <font>
      <b/>
      <sz val="11"/>
      <color theme="0"/>
      <name val="Inter"/>
    </font>
    <font>
      <b/>
      <sz val="10"/>
      <color theme="0"/>
      <name val="Inter"/>
    </font>
    <font>
      <sz val="10"/>
      <color theme="0"/>
      <name val="Inter"/>
    </font>
    <font>
      <sz val="11"/>
      <color theme="0"/>
      <name val="Inte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CA5CA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4C8"/>
        <bgColor indexed="64"/>
      </patternFill>
    </fill>
    <fill>
      <patternFill patternType="solid">
        <fgColor rgb="FF4343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/>
      <right/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FFFFFF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FFFFFF"/>
      </right>
      <top/>
      <bottom/>
      <diagonal/>
    </border>
    <border>
      <left/>
      <right style="medium">
        <color rgb="FFD9D9D9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15" fontId="3" fillId="4" borderId="3" xfId="0" applyNumberFormat="1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4" fontId="6" fillId="4" borderId="3" xfId="0" applyNumberFormat="1" applyFont="1" applyFill="1" applyBorder="1" applyAlignment="1">
      <alignment horizontal="left" vertical="center" wrapText="1"/>
    </xf>
    <xf numFmtId="4" fontId="3" fillId="4" borderId="3" xfId="0" applyNumberFormat="1" applyFont="1" applyFill="1" applyBorder="1" applyAlignment="1">
      <alignment horizontal="left" vertical="center" wrapText="1"/>
    </xf>
    <xf numFmtId="4" fontId="7" fillId="4" borderId="3" xfId="0" applyNumberFormat="1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left" vertical="center" wrapText="1"/>
    </xf>
    <xf numFmtId="0" fontId="8" fillId="4" borderId="3" xfId="1" applyFill="1" applyBorder="1" applyAlignment="1" applyProtection="1">
      <alignment horizontal="left" vertical="center" wrapText="1"/>
    </xf>
    <xf numFmtId="0" fontId="0" fillId="0" borderId="0" xfId="0" applyNumberFormat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5" fontId="3" fillId="4" borderId="1" xfId="0" applyNumberFormat="1" applyFont="1" applyFill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left" vertical="center" wrapText="1"/>
    </xf>
    <xf numFmtId="4" fontId="3" fillId="4" borderId="1" xfId="0" applyNumberFormat="1" applyFont="1" applyFill="1" applyBorder="1" applyAlignment="1">
      <alignment horizontal="left" vertical="center" wrapText="1"/>
    </xf>
    <xf numFmtId="4" fontId="7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15" fontId="9" fillId="4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3" fontId="3" fillId="4" borderId="1" xfId="0" applyNumberFormat="1" applyFont="1" applyFill="1" applyBorder="1" applyAlignment="1">
      <alignment horizontal="left" vertical="center" wrapText="1"/>
    </xf>
    <xf numFmtId="17" fontId="3" fillId="4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left"/>
    </xf>
    <xf numFmtId="0" fontId="13" fillId="4" borderId="6" xfId="0" applyFont="1" applyFill="1" applyBorder="1" applyAlignment="1">
      <alignment vertical="center" wrapText="1"/>
    </xf>
    <xf numFmtId="4" fontId="14" fillId="4" borderId="4" xfId="0" applyNumberFormat="1" applyFont="1" applyFill="1" applyBorder="1" applyAlignment="1">
      <alignment vertical="center" wrapText="1"/>
    </xf>
    <xf numFmtId="4" fontId="14" fillId="4" borderId="4" xfId="0" applyNumberFormat="1" applyFont="1" applyFill="1" applyBorder="1" applyAlignment="1">
      <alignment horizontal="right" vertical="center" wrapText="1"/>
    </xf>
    <xf numFmtId="0" fontId="14" fillId="4" borderId="5" xfId="0" applyFont="1" applyFill="1" applyBorder="1" applyAlignment="1">
      <alignment horizontal="right" vertical="center" wrapText="1"/>
    </xf>
    <xf numFmtId="4" fontId="14" fillId="4" borderId="5" xfId="0" applyNumberFormat="1" applyFont="1" applyFill="1" applyBorder="1" applyAlignment="1">
      <alignment horizontal="right" vertical="center" wrapText="1"/>
    </xf>
    <xf numFmtId="0" fontId="14" fillId="4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horizontal="right" vertical="center" wrapText="1"/>
    </xf>
    <xf numFmtId="0" fontId="15" fillId="4" borderId="6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vertical="center" wrapText="1"/>
    </xf>
    <xf numFmtId="4" fontId="14" fillId="4" borderId="1" xfId="0" applyNumberFormat="1" applyFont="1" applyFill="1" applyBorder="1" applyAlignment="1">
      <alignment vertical="center" wrapText="1"/>
    </xf>
    <xf numFmtId="4" fontId="14" fillId="4" borderId="1" xfId="0" applyNumberFormat="1" applyFont="1" applyFill="1" applyBorder="1" applyAlignment="1">
      <alignment horizontal="right" vertical="center" wrapText="1"/>
    </xf>
    <xf numFmtId="0" fontId="14" fillId="4" borderId="1" xfId="0" applyFont="1" applyFill="1" applyBorder="1" applyAlignment="1">
      <alignment horizontal="right" vertical="center" wrapText="1"/>
    </xf>
    <xf numFmtId="0" fontId="14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right" vertical="center" wrapText="1"/>
    </xf>
    <xf numFmtId="4" fontId="14" fillId="4" borderId="0" xfId="0" applyNumberFormat="1" applyFont="1" applyFill="1" applyBorder="1" applyAlignment="1">
      <alignment vertical="center" wrapText="1"/>
    </xf>
    <xf numFmtId="4" fontId="14" fillId="4" borderId="0" xfId="0" applyNumberFormat="1" applyFont="1" applyFill="1" applyBorder="1" applyAlignment="1">
      <alignment horizontal="right" vertical="center" wrapText="1"/>
    </xf>
    <xf numFmtId="0" fontId="14" fillId="4" borderId="0" xfId="0" applyFont="1" applyFill="1" applyBorder="1" applyAlignment="1">
      <alignment horizontal="right" vertical="center" wrapText="1"/>
    </xf>
    <xf numFmtId="0" fontId="14" fillId="4" borderId="0" xfId="0" applyFont="1" applyFill="1" applyBorder="1" applyAlignment="1">
      <alignment vertical="center" wrapText="1"/>
    </xf>
    <xf numFmtId="0" fontId="16" fillId="4" borderId="0" xfId="0" applyFont="1" applyFill="1" applyBorder="1" applyAlignment="1">
      <alignment vertical="center" wrapText="1"/>
    </xf>
    <xf numFmtId="0" fontId="16" fillId="4" borderId="0" xfId="0" applyFont="1" applyFill="1" applyBorder="1" applyAlignment="1">
      <alignment horizontal="right" vertical="center" wrapText="1"/>
    </xf>
    <xf numFmtId="0" fontId="1" fillId="0" borderId="0" xfId="0" applyFont="1" applyBorder="1"/>
    <xf numFmtId="0" fontId="21" fillId="4" borderId="0" xfId="0" applyFont="1" applyFill="1" applyBorder="1" applyAlignment="1">
      <alignment vertical="center" wrapText="1"/>
    </xf>
    <xf numFmtId="4" fontId="22" fillId="4" borderId="0" xfId="0" applyNumberFormat="1" applyFont="1" applyFill="1" applyBorder="1" applyAlignment="1">
      <alignment vertical="center" wrapText="1"/>
    </xf>
    <xf numFmtId="4" fontId="22" fillId="4" borderId="0" xfId="0" applyNumberFormat="1" applyFont="1" applyFill="1" applyBorder="1" applyAlignment="1">
      <alignment horizontal="right" vertical="center" wrapText="1"/>
    </xf>
    <xf numFmtId="0" fontId="22" fillId="4" borderId="0" xfId="0" applyFont="1" applyFill="1" applyBorder="1" applyAlignment="1">
      <alignment horizontal="right" vertical="center" wrapText="1"/>
    </xf>
    <xf numFmtId="0" fontId="22" fillId="4" borderId="0" xfId="0" applyFont="1" applyFill="1" applyBorder="1" applyAlignment="1">
      <alignment vertical="center" wrapText="1"/>
    </xf>
    <xf numFmtId="0" fontId="20" fillId="4" borderId="0" xfId="0" applyFont="1" applyFill="1" applyBorder="1" applyAlignment="1">
      <alignment vertical="center" wrapText="1"/>
    </xf>
    <xf numFmtId="0" fontId="23" fillId="4" borderId="0" xfId="0" applyFont="1" applyFill="1" applyBorder="1" applyAlignment="1">
      <alignment vertical="center" wrapText="1"/>
    </xf>
    <xf numFmtId="0" fontId="23" fillId="4" borderId="0" xfId="0" applyFont="1" applyFill="1" applyBorder="1" applyAlignment="1">
      <alignment horizontal="right" vertical="center" wrapText="1"/>
    </xf>
    <xf numFmtId="0" fontId="17" fillId="5" borderId="0" xfId="0" applyFont="1" applyFill="1" applyBorder="1" applyAlignment="1">
      <alignment vertical="center"/>
    </xf>
    <xf numFmtId="0" fontId="18" fillId="5" borderId="0" xfId="0" applyFont="1" applyFill="1" applyBorder="1" applyAlignment="1">
      <alignment vertical="center" wrapText="1"/>
    </xf>
    <xf numFmtId="0" fontId="19" fillId="5" borderId="0" xfId="0" applyFont="1" applyFill="1" applyBorder="1" applyAlignment="1">
      <alignment vertical="center" wrapText="1"/>
    </xf>
    <xf numFmtId="0" fontId="20" fillId="5" borderId="0" xfId="0" applyFont="1" applyFill="1" applyBorder="1" applyAlignment="1">
      <alignment horizontal="right" vertical="center" wrapText="1"/>
    </xf>
    <xf numFmtId="0" fontId="13" fillId="4" borderId="7" xfId="0" applyFont="1" applyFill="1" applyBorder="1" applyAlignment="1">
      <alignment vertical="center" wrapText="1"/>
    </xf>
    <xf numFmtId="0" fontId="14" fillId="4" borderId="8" xfId="0" applyFont="1" applyFill="1" applyBorder="1" applyAlignment="1">
      <alignment horizontal="right" vertical="center" wrapText="1"/>
    </xf>
    <xf numFmtId="0" fontId="15" fillId="4" borderId="7" xfId="0" applyFont="1" applyFill="1" applyBorder="1" applyAlignment="1">
      <alignment vertical="center" wrapText="1"/>
    </xf>
    <xf numFmtId="0" fontId="2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4"/>
  <sheetViews>
    <sheetView workbookViewId="0">
      <pane ySplit="1" topLeftCell="A158" activePane="bottomLeft" state="frozen"/>
      <selection pane="bottomLeft" activeCell="B1" sqref="B1"/>
    </sheetView>
  </sheetViews>
  <sheetFormatPr defaultRowHeight="15"/>
  <cols>
    <col min="2" max="2" width="36" customWidth="1"/>
    <col min="4" max="4" width="16.7109375" customWidth="1"/>
    <col min="5" max="5" width="16.5703125" customWidth="1"/>
    <col min="6" max="6" width="17.85546875" customWidth="1"/>
    <col min="7" max="7" width="13.42578125" customWidth="1"/>
    <col min="8" max="8" width="17.28515625" customWidth="1"/>
    <col min="10" max="10" width="10.140625" bestFit="1" customWidth="1"/>
    <col min="14" max="14" width="10.140625" bestFit="1" customWidth="1"/>
    <col min="16" max="17" width="10.140625" bestFit="1" customWidth="1"/>
    <col min="19" max="19" width="10.140625" bestFit="1" customWidth="1"/>
  </cols>
  <sheetData>
    <row r="1" spans="1:22" ht="34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0" t="s">
        <v>21</v>
      </c>
    </row>
    <row r="2" spans="1:22" ht="39" thickBot="1">
      <c r="A2" s="2">
        <v>1</v>
      </c>
      <c r="B2" s="3" t="s">
        <v>22</v>
      </c>
      <c r="C2" s="4" t="s">
        <v>23</v>
      </c>
      <c r="D2" s="5">
        <v>45555</v>
      </c>
      <c r="E2" s="6" t="s">
        <v>24</v>
      </c>
      <c r="F2" s="6" t="s">
        <v>25</v>
      </c>
      <c r="G2" s="5">
        <v>45542</v>
      </c>
      <c r="H2" s="6" t="s">
        <v>26</v>
      </c>
      <c r="I2" s="6">
        <v>72</v>
      </c>
      <c r="J2" s="7">
        <v>143570</v>
      </c>
      <c r="K2" s="6" t="s">
        <v>27</v>
      </c>
      <c r="L2" s="6" t="s">
        <v>27</v>
      </c>
      <c r="M2" s="8">
        <v>7178.5</v>
      </c>
      <c r="N2" s="9">
        <v>150748.5</v>
      </c>
      <c r="O2" s="10" t="s">
        <v>27</v>
      </c>
      <c r="P2" s="9">
        <v>150749</v>
      </c>
      <c r="Q2" s="5">
        <v>45572</v>
      </c>
      <c r="R2" s="6" t="s">
        <v>28</v>
      </c>
      <c r="S2" s="11">
        <v>45777</v>
      </c>
      <c r="T2" s="6" t="s">
        <v>29</v>
      </c>
      <c r="U2" s="12"/>
      <c r="V2" s="13">
        <f ca="1">TODAY()-G2</f>
        <v>666</v>
      </c>
    </row>
    <row r="3" spans="1:22" ht="26.25" thickBot="1">
      <c r="A3" s="14">
        <v>2</v>
      </c>
      <c r="B3" s="15" t="s">
        <v>30</v>
      </c>
      <c r="C3" s="16" t="s">
        <v>23</v>
      </c>
      <c r="D3" s="17">
        <v>45968</v>
      </c>
      <c r="E3" s="14" t="s">
        <v>31</v>
      </c>
      <c r="F3" s="14" t="s">
        <v>32</v>
      </c>
      <c r="G3" s="17">
        <v>45915</v>
      </c>
      <c r="H3" s="14">
        <v>1416</v>
      </c>
      <c r="I3" s="14">
        <v>4</v>
      </c>
      <c r="J3" s="18">
        <v>27220</v>
      </c>
      <c r="K3" s="14" t="s">
        <v>27</v>
      </c>
      <c r="L3" s="14" t="s">
        <v>27</v>
      </c>
      <c r="M3" s="19">
        <v>1361</v>
      </c>
      <c r="N3" s="20">
        <v>28581</v>
      </c>
      <c r="O3" s="21" t="s">
        <v>27</v>
      </c>
      <c r="P3" s="20">
        <v>28581</v>
      </c>
      <c r="Q3" s="22">
        <v>45945</v>
      </c>
      <c r="R3" s="14" t="s">
        <v>33</v>
      </c>
      <c r="S3" s="23"/>
      <c r="T3" s="14" t="s">
        <v>34</v>
      </c>
      <c r="U3" s="24"/>
      <c r="V3" s="25">
        <v>293</v>
      </c>
    </row>
    <row r="4" spans="1:22" ht="26.25" thickBot="1">
      <c r="A4" s="2">
        <v>3</v>
      </c>
      <c r="B4" s="15" t="s">
        <v>30</v>
      </c>
      <c r="C4" s="16" t="s">
        <v>23</v>
      </c>
      <c r="D4" s="17">
        <v>46064</v>
      </c>
      <c r="E4" s="14" t="s">
        <v>35</v>
      </c>
      <c r="F4" s="14" t="s">
        <v>36</v>
      </c>
      <c r="G4" s="17">
        <v>46051</v>
      </c>
      <c r="H4" s="14">
        <v>3649</v>
      </c>
      <c r="I4" s="14">
        <v>6</v>
      </c>
      <c r="J4" s="18">
        <v>32110</v>
      </c>
      <c r="K4" s="14" t="s">
        <v>27</v>
      </c>
      <c r="L4" s="14" t="s">
        <v>27</v>
      </c>
      <c r="M4" s="19">
        <v>1605.5</v>
      </c>
      <c r="N4" s="20">
        <v>33715.5</v>
      </c>
      <c r="O4" s="21" t="s">
        <v>27</v>
      </c>
      <c r="P4" s="20">
        <v>33716</v>
      </c>
      <c r="Q4" s="22">
        <v>46081</v>
      </c>
      <c r="R4" s="14" t="s">
        <v>33</v>
      </c>
      <c r="S4" s="23"/>
      <c r="T4" s="14" t="s">
        <v>34</v>
      </c>
      <c r="U4" s="23"/>
      <c r="V4" s="25">
        <v>157</v>
      </c>
    </row>
    <row r="5" spans="1:22" ht="26.25" thickBot="1">
      <c r="A5" s="14">
        <v>4</v>
      </c>
      <c r="B5" s="15" t="s">
        <v>30</v>
      </c>
      <c r="C5" s="16" t="s">
        <v>23</v>
      </c>
      <c r="D5" s="17">
        <v>46064</v>
      </c>
      <c r="E5" s="14" t="s">
        <v>37</v>
      </c>
      <c r="F5" s="14" t="s">
        <v>38</v>
      </c>
      <c r="G5" s="17">
        <v>46051</v>
      </c>
      <c r="H5" s="14">
        <v>3641</v>
      </c>
      <c r="I5" s="14">
        <v>6</v>
      </c>
      <c r="J5" s="18">
        <v>32750</v>
      </c>
      <c r="K5" s="14" t="s">
        <v>27</v>
      </c>
      <c r="L5" s="14" t="s">
        <v>27</v>
      </c>
      <c r="M5" s="19">
        <v>1637.5</v>
      </c>
      <c r="N5" s="20">
        <v>34387.5</v>
      </c>
      <c r="O5" s="21" t="s">
        <v>27</v>
      </c>
      <c r="P5" s="20">
        <v>34388</v>
      </c>
      <c r="Q5" s="22">
        <v>46081</v>
      </c>
      <c r="R5" s="14" t="s">
        <v>33</v>
      </c>
      <c r="S5" s="23"/>
      <c r="T5" s="14" t="s">
        <v>34</v>
      </c>
      <c r="U5" s="23"/>
      <c r="V5" s="25">
        <v>157</v>
      </c>
    </row>
    <row r="6" spans="1:22" ht="26.25" thickBot="1">
      <c r="A6" s="2">
        <v>5</v>
      </c>
      <c r="B6" s="15" t="s">
        <v>30</v>
      </c>
      <c r="C6" s="16" t="s">
        <v>23</v>
      </c>
      <c r="D6" s="17">
        <v>46071</v>
      </c>
      <c r="E6" s="14" t="s">
        <v>39</v>
      </c>
      <c r="F6" s="14" t="s">
        <v>40</v>
      </c>
      <c r="G6" s="17">
        <v>46056</v>
      </c>
      <c r="H6" s="14">
        <v>3736</v>
      </c>
      <c r="I6" s="14">
        <v>5</v>
      </c>
      <c r="J6" s="18">
        <v>29470</v>
      </c>
      <c r="K6" s="14" t="s">
        <v>27</v>
      </c>
      <c r="L6" s="14" t="s">
        <v>27</v>
      </c>
      <c r="M6" s="19">
        <v>1473.5</v>
      </c>
      <c r="N6" s="20">
        <v>30943.5</v>
      </c>
      <c r="O6" s="21" t="s">
        <v>27</v>
      </c>
      <c r="P6" s="20">
        <v>30944</v>
      </c>
      <c r="Q6" s="22">
        <v>46086</v>
      </c>
      <c r="R6" s="14" t="s">
        <v>33</v>
      </c>
      <c r="S6" s="23"/>
      <c r="T6" s="14" t="s">
        <v>34</v>
      </c>
      <c r="U6" s="23"/>
      <c r="V6" s="25">
        <v>152</v>
      </c>
    </row>
    <row r="7" spans="1:22" ht="26.25" thickBot="1">
      <c r="A7" s="14">
        <v>6</v>
      </c>
      <c r="B7" s="15" t="s">
        <v>41</v>
      </c>
      <c r="C7" s="16" t="s">
        <v>23</v>
      </c>
      <c r="D7" s="17">
        <v>46049</v>
      </c>
      <c r="E7" s="14" t="s">
        <v>42</v>
      </c>
      <c r="F7" s="14" t="s">
        <v>43</v>
      </c>
      <c r="G7" s="17">
        <v>46039</v>
      </c>
      <c r="H7" s="14">
        <v>554</v>
      </c>
      <c r="I7" s="14">
        <v>64</v>
      </c>
      <c r="J7" s="18">
        <v>94300</v>
      </c>
      <c r="K7" s="14" t="s">
        <v>27</v>
      </c>
      <c r="L7" s="14" t="s">
        <v>27</v>
      </c>
      <c r="M7" s="19">
        <v>4715</v>
      </c>
      <c r="N7" s="20">
        <v>99015</v>
      </c>
      <c r="O7" s="21" t="s">
        <v>27</v>
      </c>
      <c r="P7" s="20">
        <v>99015</v>
      </c>
      <c r="Q7" s="22">
        <v>46069</v>
      </c>
      <c r="R7" s="14" t="s">
        <v>33</v>
      </c>
      <c r="S7" s="23"/>
      <c r="T7" s="14" t="s">
        <v>34</v>
      </c>
      <c r="U7" s="23"/>
      <c r="V7" s="25">
        <f t="shared" ref="V7:V30" ca="1" si="0">TODAY()-G7</f>
        <v>169</v>
      </c>
    </row>
    <row r="8" spans="1:22" ht="26.25" thickBot="1">
      <c r="A8" s="2">
        <v>7</v>
      </c>
      <c r="B8" s="15" t="s">
        <v>44</v>
      </c>
      <c r="C8" s="16" t="s">
        <v>23</v>
      </c>
      <c r="D8" s="17">
        <v>46160</v>
      </c>
      <c r="E8" s="14" t="s">
        <v>45</v>
      </c>
      <c r="F8" s="14" t="s">
        <v>45</v>
      </c>
      <c r="G8" s="17">
        <v>46150</v>
      </c>
      <c r="H8" s="14" t="s">
        <v>46</v>
      </c>
      <c r="I8" s="14">
        <v>63</v>
      </c>
      <c r="J8" s="18">
        <v>57132</v>
      </c>
      <c r="K8" s="23"/>
      <c r="L8" s="23"/>
      <c r="M8" s="19">
        <v>2856.6</v>
      </c>
      <c r="N8" s="20">
        <v>59988.6</v>
      </c>
      <c r="O8" s="21" t="s">
        <v>27</v>
      </c>
      <c r="P8" s="20">
        <v>59989</v>
      </c>
      <c r="Q8" s="22">
        <v>46180</v>
      </c>
      <c r="R8" s="14" t="s">
        <v>33</v>
      </c>
      <c r="S8" s="23"/>
      <c r="T8" s="14" t="s">
        <v>34</v>
      </c>
      <c r="U8" s="23"/>
      <c r="V8" s="25">
        <f t="shared" ca="1" si="0"/>
        <v>58</v>
      </c>
    </row>
    <row r="9" spans="1:22" ht="26.25" thickBot="1">
      <c r="A9" s="14">
        <v>8</v>
      </c>
      <c r="B9" s="15" t="s">
        <v>44</v>
      </c>
      <c r="C9" s="16" t="s">
        <v>23</v>
      </c>
      <c r="D9" s="17">
        <v>46160</v>
      </c>
      <c r="E9" s="14" t="s">
        <v>47</v>
      </c>
      <c r="F9" s="14" t="s">
        <v>47</v>
      </c>
      <c r="G9" s="17">
        <v>46150</v>
      </c>
      <c r="H9" s="14" t="s">
        <v>48</v>
      </c>
      <c r="I9" s="14">
        <v>39</v>
      </c>
      <c r="J9" s="18">
        <v>23517</v>
      </c>
      <c r="K9" s="23"/>
      <c r="L9" s="23"/>
      <c r="M9" s="19">
        <v>1175.8499999999999</v>
      </c>
      <c r="N9" s="20">
        <v>24692.85</v>
      </c>
      <c r="O9" s="21" t="s">
        <v>27</v>
      </c>
      <c r="P9" s="20">
        <v>24693</v>
      </c>
      <c r="Q9" s="22">
        <v>46180</v>
      </c>
      <c r="R9" s="14" t="s">
        <v>33</v>
      </c>
      <c r="S9" s="23"/>
      <c r="T9" s="14" t="s">
        <v>34</v>
      </c>
      <c r="U9" s="23"/>
      <c r="V9" s="25">
        <f t="shared" ca="1" si="0"/>
        <v>58</v>
      </c>
    </row>
    <row r="10" spans="1:22" ht="26.25" thickBot="1">
      <c r="A10" s="2">
        <v>9</v>
      </c>
      <c r="B10" s="15" t="s">
        <v>49</v>
      </c>
      <c r="C10" s="16" t="s">
        <v>23</v>
      </c>
      <c r="D10" s="17">
        <v>45700</v>
      </c>
      <c r="E10" s="14" t="s">
        <v>50</v>
      </c>
      <c r="F10" s="14" t="s">
        <v>51</v>
      </c>
      <c r="G10" s="17">
        <v>45688</v>
      </c>
      <c r="H10" s="14" t="s">
        <v>52</v>
      </c>
      <c r="I10" s="14">
        <v>30</v>
      </c>
      <c r="J10" s="18">
        <v>63050</v>
      </c>
      <c r="K10" s="14" t="s">
        <v>27</v>
      </c>
      <c r="L10" s="14" t="s">
        <v>27</v>
      </c>
      <c r="M10" s="19">
        <v>3152.5</v>
      </c>
      <c r="N10" s="20">
        <v>66202.5</v>
      </c>
      <c r="O10" s="21" t="s">
        <v>27</v>
      </c>
      <c r="P10" s="20">
        <v>66203</v>
      </c>
      <c r="Q10" s="22">
        <v>45718</v>
      </c>
      <c r="R10" s="14" t="s">
        <v>28</v>
      </c>
      <c r="S10" s="23"/>
      <c r="T10" s="14" t="s">
        <v>34</v>
      </c>
      <c r="U10" s="23"/>
      <c r="V10" s="25">
        <f t="shared" ca="1" si="0"/>
        <v>520</v>
      </c>
    </row>
    <row r="11" spans="1:22" ht="26.25" thickBot="1">
      <c r="A11" s="14">
        <v>10</v>
      </c>
      <c r="B11" s="15" t="s">
        <v>53</v>
      </c>
      <c r="C11" s="16" t="s">
        <v>23</v>
      </c>
      <c r="D11" s="17">
        <v>46134</v>
      </c>
      <c r="E11" s="14" t="s">
        <v>54</v>
      </c>
      <c r="F11" s="14" t="s">
        <v>54</v>
      </c>
      <c r="G11" s="17">
        <v>46120</v>
      </c>
      <c r="H11" s="14" t="s">
        <v>55</v>
      </c>
      <c r="I11" s="14">
        <v>97</v>
      </c>
      <c r="J11" s="18">
        <v>79013</v>
      </c>
      <c r="K11" s="23"/>
      <c r="L11" s="23"/>
      <c r="M11" s="23"/>
      <c r="N11" s="20">
        <v>79013</v>
      </c>
      <c r="O11" s="21" t="s">
        <v>27</v>
      </c>
      <c r="P11" s="20">
        <v>79013</v>
      </c>
      <c r="Q11" s="22">
        <v>46150</v>
      </c>
      <c r="R11" s="14" t="s">
        <v>33</v>
      </c>
      <c r="S11" s="23"/>
      <c r="T11" s="14" t="s">
        <v>34</v>
      </c>
      <c r="U11" s="23"/>
      <c r="V11" s="25">
        <f t="shared" ca="1" si="0"/>
        <v>88</v>
      </c>
    </row>
    <row r="12" spans="1:22" ht="26.25" thickBot="1">
      <c r="A12" s="2">
        <v>11</v>
      </c>
      <c r="B12" s="15" t="s">
        <v>56</v>
      </c>
      <c r="C12" s="16" t="s">
        <v>23</v>
      </c>
      <c r="D12" s="17">
        <v>46101</v>
      </c>
      <c r="E12" s="14" t="s">
        <v>57</v>
      </c>
      <c r="F12" s="14" t="s">
        <v>58</v>
      </c>
      <c r="G12" s="17">
        <v>46093</v>
      </c>
      <c r="H12" s="14" t="s">
        <v>59</v>
      </c>
      <c r="I12" s="14">
        <v>38</v>
      </c>
      <c r="J12" s="18">
        <v>120010</v>
      </c>
      <c r="K12" s="14" t="s">
        <v>27</v>
      </c>
      <c r="L12" s="19">
        <v>12001</v>
      </c>
      <c r="M12" s="19">
        <v>19441.62</v>
      </c>
      <c r="N12" s="20">
        <v>127450.62</v>
      </c>
      <c r="O12" s="21" t="s">
        <v>27</v>
      </c>
      <c r="P12" s="20">
        <v>127451</v>
      </c>
      <c r="Q12" s="22">
        <v>46123</v>
      </c>
      <c r="R12" s="14" t="s">
        <v>33</v>
      </c>
      <c r="S12" s="23"/>
      <c r="T12" s="14" t="s">
        <v>34</v>
      </c>
      <c r="U12" s="23"/>
      <c r="V12" s="25">
        <f t="shared" ca="1" si="0"/>
        <v>115</v>
      </c>
    </row>
    <row r="13" spans="1:22" ht="26.25" thickBot="1">
      <c r="A13" s="14">
        <v>12</v>
      </c>
      <c r="B13" s="15" t="s">
        <v>56</v>
      </c>
      <c r="C13" s="16" t="s">
        <v>23</v>
      </c>
      <c r="D13" s="17">
        <v>46105</v>
      </c>
      <c r="E13" s="14" t="s">
        <v>60</v>
      </c>
      <c r="F13" s="14" t="s">
        <v>61</v>
      </c>
      <c r="G13" s="17">
        <v>46097</v>
      </c>
      <c r="H13" s="14" t="s">
        <v>62</v>
      </c>
      <c r="I13" s="14">
        <v>38</v>
      </c>
      <c r="J13" s="18">
        <v>157510</v>
      </c>
      <c r="K13" s="14" t="s">
        <v>27</v>
      </c>
      <c r="L13" s="19">
        <v>15751</v>
      </c>
      <c r="M13" s="19">
        <v>25516.62</v>
      </c>
      <c r="N13" s="20">
        <v>167275.62</v>
      </c>
      <c r="O13" s="21" t="s">
        <v>27</v>
      </c>
      <c r="P13" s="20">
        <v>167276</v>
      </c>
      <c r="Q13" s="22">
        <v>46127</v>
      </c>
      <c r="R13" s="14" t="s">
        <v>33</v>
      </c>
      <c r="S13" s="23"/>
      <c r="T13" s="14" t="s">
        <v>34</v>
      </c>
      <c r="U13" s="23"/>
      <c r="V13" s="25">
        <f t="shared" ca="1" si="0"/>
        <v>111</v>
      </c>
    </row>
    <row r="14" spans="1:22" ht="26.25" thickBot="1">
      <c r="A14" s="2">
        <v>13</v>
      </c>
      <c r="B14" s="15" t="s">
        <v>56</v>
      </c>
      <c r="C14" s="16" t="s">
        <v>23</v>
      </c>
      <c r="D14" s="17">
        <v>46105</v>
      </c>
      <c r="E14" s="14" t="s">
        <v>63</v>
      </c>
      <c r="F14" s="14" t="s">
        <v>64</v>
      </c>
      <c r="G14" s="17">
        <v>46098</v>
      </c>
      <c r="H14" s="14" t="s">
        <v>65</v>
      </c>
      <c r="I14" s="14">
        <v>14</v>
      </c>
      <c r="J14" s="18">
        <v>62230</v>
      </c>
      <c r="K14" s="14" t="s">
        <v>27</v>
      </c>
      <c r="L14" s="19">
        <v>6223</v>
      </c>
      <c r="M14" s="19">
        <v>10081.26</v>
      </c>
      <c r="N14" s="20">
        <v>66088.259999999995</v>
      </c>
      <c r="O14" s="21" t="s">
        <v>27</v>
      </c>
      <c r="P14" s="20">
        <v>66088</v>
      </c>
      <c r="Q14" s="22">
        <v>46128</v>
      </c>
      <c r="R14" s="14" t="s">
        <v>33</v>
      </c>
      <c r="S14" s="23"/>
      <c r="T14" s="14" t="s">
        <v>34</v>
      </c>
      <c r="U14" s="23"/>
      <c r="V14" s="25">
        <f t="shared" ca="1" si="0"/>
        <v>110</v>
      </c>
    </row>
    <row r="15" spans="1:22" ht="26.25" thickBot="1">
      <c r="A15" s="14">
        <v>14</v>
      </c>
      <c r="B15" s="15" t="s">
        <v>56</v>
      </c>
      <c r="C15" s="16" t="s">
        <v>23</v>
      </c>
      <c r="D15" s="17">
        <v>46120</v>
      </c>
      <c r="E15" s="14" t="s">
        <v>66</v>
      </c>
      <c r="F15" s="14" t="s">
        <v>66</v>
      </c>
      <c r="G15" s="17">
        <v>46113</v>
      </c>
      <c r="H15" s="14" t="s">
        <v>67</v>
      </c>
      <c r="I15" s="14">
        <v>7</v>
      </c>
      <c r="J15" s="18">
        <v>13195</v>
      </c>
      <c r="K15" s="23"/>
      <c r="L15" s="23"/>
      <c r="M15" s="14">
        <v>660</v>
      </c>
      <c r="N15" s="20">
        <v>13855</v>
      </c>
      <c r="O15" s="21" t="s">
        <v>27</v>
      </c>
      <c r="P15" s="20">
        <v>13855</v>
      </c>
      <c r="Q15" s="22">
        <v>46143</v>
      </c>
      <c r="R15" s="14" t="s">
        <v>33</v>
      </c>
      <c r="S15" s="23"/>
      <c r="T15" s="14" t="s">
        <v>34</v>
      </c>
      <c r="U15" s="23"/>
      <c r="V15" s="25">
        <f t="shared" ca="1" si="0"/>
        <v>95</v>
      </c>
    </row>
    <row r="16" spans="1:22" ht="26.25" thickBot="1">
      <c r="A16" s="2">
        <v>15</v>
      </c>
      <c r="B16" s="15" t="s">
        <v>56</v>
      </c>
      <c r="C16" s="16" t="s">
        <v>23</v>
      </c>
      <c r="D16" s="17">
        <v>46120</v>
      </c>
      <c r="E16" s="14" t="s">
        <v>68</v>
      </c>
      <c r="F16" s="14" t="s">
        <v>68</v>
      </c>
      <c r="G16" s="17">
        <v>46113</v>
      </c>
      <c r="H16" s="14" t="s">
        <v>69</v>
      </c>
      <c r="I16" s="14">
        <v>7</v>
      </c>
      <c r="J16" s="18">
        <v>27265</v>
      </c>
      <c r="K16" s="23"/>
      <c r="L16" s="23"/>
      <c r="M16" s="19">
        <v>4908</v>
      </c>
      <c r="N16" s="20">
        <v>32173</v>
      </c>
      <c r="O16" s="21" t="s">
        <v>27</v>
      </c>
      <c r="P16" s="20">
        <v>32173</v>
      </c>
      <c r="Q16" s="22">
        <v>46143</v>
      </c>
      <c r="R16" s="14" t="s">
        <v>33</v>
      </c>
      <c r="S16" s="23"/>
      <c r="T16" s="14" t="s">
        <v>34</v>
      </c>
      <c r="U16" s="23"/>
      <c r="V16" s="25">
        <f t="shared" ca="1" si="0"/>
        <v>95</v>
      </c>
    </row>
    <row r="17" spans="1:22" ht="26.25" thickBot="1">
      <c r="A17" s="14">
        <v>16</v>
      </c>
      <c r="B17" s="15" t="s">
        <v>70</v>
      </c>
      <c r="C17" s="16" t="s">
        <v>23</v>
      </c>
      <c r="D17" s="17">
        <v>46060</v>
      </c>
      <c r="E17" s="14" t="s">
        <v>71</v>
      </c>
      <c r="F17" s="14" t="s">
        <v>72</v>
      </c>
      <c r="G17" s="17">
        <v>46059</v>
      </c>
      <c r="H17" s="14">
        <v>17</v>
      </c>
      <c r="I17" s="14">
        <v>17</v>
      </c>
      <c r="J17" s="18">
        <v>10670</v>
      </c>
      <c r="K17" s="14" t="s">
        <v>27</v>
      </c>
      <c r="L17" s="14" t="s">
        <v>27</v>
      </c>
      <c r="M17" s="14" t="s">
        <v>27</v>
      </c>
      <c r="N17" s="20">
        <v>10670</v>
      </c>
      <c r="O17" s="21" t="s">
        <v>27</v>
      </c>
      <c r="P17" s="20">
        <v>10670</v>
      </c>
      <c r="Q17" s="22">
        <v>46089</v>
      </c>
      <c r="R17" s="14" t="s">
        <v>33</v>
      </c>
      <c r="S17" s="23"/>
      <c r="T17" s="14" t="s">
        <v>34</v>
      </c>
      <c r="U17" s="23"/>
      <c r="V17" s="25">
        <f t="shared" ca="1" si="0"/>
        <v>149</v>
      </c>
    </row>
    <row r="18" spans="1:22" ht="26.25" thickBot="1">
      <c r="A18" s="2">
        <v>17</v>
      </c>
      <c r="B18" s="15" t="s">
        <v>73</v>
      </c>
      <c r="C18" s="16" t="s">
        <v>23</v>
      </c>
      <c r="D18" s="17">
        <v>46114</v>
      </c>
      <c r="E18" s="14" t="s">
        <v>74</v>
      </c>
      <c r="F18" s="14" t="s">
        <v>74</v>
      </c>
      <c r="G18" s="17">
        <v>46083</v>
      </c>
      <c r="H18" s="14" t="s">
        <v>75</v>
      </c>
      <c r="I18" s="14">
        <v>40</v>
      </c>
      <c r="J18" s="18">
        <v>38465</v>
      </c>
      <c r="K18" s="23"/>
      <c r="L18" s="23"/>
      <c r="M18" s="19">
        <v>1923</v>
      </c>
      <c r="N18" s="20">
        <v>40388</v>
      </c>
      <c r="O18" s="21" t="s">
        <v>27</v>
      </c>
      <c r="P18" s="20">
        <v>40388</v>
      </c>
      <c r="Q18" s="22">
        <v>46113</v>
      </c>
      <c r="R18" s="14" t="s">
        <v>33</v>
      </c>
      <c r="S18" s="23"/>
      <c r="T18" s="14" t="s">
        <v>34</v>
      </c>
      <c r="U18" s="23"/>
      <c r="V18" s="25">
        <f t="shared" ca="1" si="0"/>
        <v>125</v>
      </c>
    </row>
    <row r="19" spans="1:22" ht="26.25" thickBot="1">
      <c r="A19" s="14">
        <v>18</v>
      </c>
      <c r="B19" s="15" t="s">
        <v>73</v>
      </c>
      <c r="C19" s="16" t="s">
        <v>23</v>
      </c>
      <c r="D19" s="17">
        <v>46114</v>
      </c>
      <c r="E19" s="14" t="s">
        <v>76</v>
      </c>
      <c r="F19" s="14" t="s">
        <v>76</v>
      </c>
      <c r="G19" s="17">
        <v>46106</v>
      </c>
      <c r="H19" s="14" t="s">
        <v>77</v>
      </c>
      <c r="I19" s="14">
        <v>37</v>
      </c>
      <c r="J19" s="18">
        <v>216350</v>
      </c>
      <c r="K19" s="23"/>
      <c r="L19" s="23"/>
      <c r="M19" s="19">
        <v>10818</v>
      </c>
      <c r="N19" s="20">
        <v>227168</v>
      </c>
      <c r="O19" s="21" t="s">
        <v>27</v>
      </c>
      <c r="P19" s="20">
        <v>227168</v>
      </c>
      <c r="Q19" s="22">
        <v>46136</v>
      </c>
      <c r="R19" s="14" t="s">
        <v>33</v>
      </c>
      <c r="S19" s="23"/>
      <c r="T19" s="14" t="s">
        <v>34</v>
      </c>
      <c r="U19" s="23"/>
      <c r="V19" s="25">
        <f t="shared" ca="1" si="0"/>
        <v>102</v>
      </c>
    </row>
    <row r="20" spans="1:22" ht="26.25" thickBot="1">
      <c r="A20" s="2">
        <v>19</v>
      </c>
      <c r="B20" s="15" t="s">
        <v>73</v>
      </c>
      <c r="C20" s="16" t="s">
        <v>23</v>
      </c>
      <c r="D20" s="17">
        <v>45985</v>
      </c>
      <c r="E20" s="14" t="s">
        <v>78</v>
      </c>
      <c r="F20" s="14" t="s">
        <v>79</v>
      </c>
      <c r="G20" s="17">
        <v>45974</v>
      </c>
      <c r="H20" s="14" t="s">
        <v>80</v>
      </c>
      <c r="I20" s="14">
        <v>61</v>
      </c>
      <c r="J20" s="18">
        <v>128185</v>
      </c>
      <c r="K20" s="14" t="s">
        <v>27</v>
      </c>
      <c r="L20" s="14" t="s">
        <v>27</v>
      </c>
      <c r="M20" s="19">
        <v>6409.25</v>
      </c>
      <c r="N20" s="20">
        <v>134594.25</v>
      </c>
      <c r="O20" s="21" t="s">
        <v>27</v>
      </c>
      <c r="P20" s="20">
        <v>134594</v>
      </c>
      <c r="Q20" s="22">
        <v>46004</v>
      </c>
      <c r="R20" s="14" t="s">
        <v>28</v>
      </c>
      <c r="S20" s="23"/>
      <c r="T20" s="14" t="s">
        <v>34</v>
      </c>
      <c r="U20" s="23"/>
      <c r="V20" s="25">
        <f t="shared" ca="1" si="0"/>
        <v>234</v>
      </c>
    </row>
    <row r="21" spans="1:22" ht="26.25" thickBot="1">
      <c r="A21" s="14">
        <v>20</v>
      </c>
      <c r="B21" s="15" t="s">
        <v>81</v>
      </c>
      <c r="C21" s="16" t="s">
        <v>23</v>
      </c>
      <c r="D21" s="17">
        <v>46071</v>
      </c>
      <c r="E21" s="14" t="s">
        <v>82</v>
      </c>
      <c r="F21" s="14" t="s">
        <v>83</v>
      </c>
      <c r="G21" s="17">
        <v>46067</v>
      </c>
      <c r="H21" s="14" t="s">
        <v>84</v>
      </c>
      <c r="I21" s="14">
        <v>105.6</v>
      </c>
      <c r="J21" s="18">
        <v>33496.400000000001</v>
      </c>
      <c r="K21" s="14" t="s">
        <v>27</v>
      </c>
      <c r="L21" s="14" t="s">
        <v>27</v>
      </c>
      <c r="M21" s="19">
        <v>1674.82</v>
      </c>
      <c r="N21" s="20">
        <v>35171.22</v>
      </c>
      <c r="O21" s="21" t="s">
        <v>27</v>
      </c>
      <c r="P21" s="20">
        <v>35171</v>
      </c>
      <c r="Q21" s="22">
        <v>46097</v>
      </c>
      <c r="R21" s="14" t="s">
        <v>33</v>
      </c>
      <c r="S21" s="23"/>
      <c r="T21" s="14" t="s">
        <v>34</v>
      </c>
      <c r="U21" s="23"/>
      <c r="V21" s="25">
        <f t="shared" ca="1" si="0"/>
        <v>141</v>
      </c>
    </row>
    <row r="22" spans="1:22" ht="26.25" thickBot="1">
      <c r="A22" s="2">
        <v>21</v>
      </c>
      <c r="B22" s="15" t="s">
        <v>81</v>
      </c>
      <c r="C22" s="16" t="s">
        <v>23</v>
      </c>
      <c r="D22" s="17">
        <v>46120</v>
      </c>
      <c r="E22" s="14" t="s">
        <v>85</v>
      </c>
      <c r="F22" s="14" t="s">
        <v>85</v>
      </c>
      <c r="G22" s="14" t="s">
        <v>86</v>
      </c>
      <c r="H22" s="14" t="s">
        <v>87</v>
      </c>
      <c r="I22" s="14">
        <v>80</v>
      </c>
      <c r="J22" s="18">
        <v>18920</v>
      </c>
      <c r="K22" s="23"/>
      <c r="L22" s="23"/>
      <c r="M22" s="14">
        <v>946</v>
      </c>
      <c r="N22" s="20">
        <v>19866</v>
      </c>
      <c r="O22" s="21" t="s">
        <v>27</v>
      </c>
      <c r="P22" s="20">
        <v>19866</v>
      </c>
      <c r="Q22" s="14" t="e">
        <v>#VALUE!</v>
      </c>
      <c r="R22" s="14" t="s">
        <v>33</v>
      </c>
      <c r="S22" s="23"/>
      <c r="T22" s="14" t="s">
        <v>34</v>
      </c>
      <c r="U22" s="23"/>
      <c r="V22" s="26" t="e">
        <f ca="1">TODAY()-G22</f>
        <v>#VALUE!</v>
      </c>
    </row>
    <row r="23" spans="1:22" ht="26.25" thickBot="1">
      <c r="A23" s="14">
        <v>22</v>
      </c>
      <c r="B23" s="15" t="s">
        <v>81</v>
      </c>
      <c r="C23" s="16" t="s">
        <v>23</v>
      </c>
      <c r="D23" s="17">
        <v>46153</v>
      </c>
      <c r="E23" s="14" t="s">
        <v>88</v>
      </c>
      <c r="F23" s="14" t="s">
        <v>88</v>
      </c>
      <c r="G23" s="17">
        <v>46150</v>
      </c>
      <c r="H23" s="14" t="s">
        <v>89</v>
      </c>
      <c r="I23" s="14">
        <v>112</v>
      </c>
      <c r="J23" s="18">
        <v>73456</v>
      </c>
      <c r="K23" s="23"/>
      <c r="L23" s="19">
        <v>3666.8</v>
      </c>
      <c r="M23" s="19">
        <v>3489.46</v>
      </c>
      <c r="N23" s="20">
        <v>73278.66</v>
      </c>
      <c r="O23" s="21" t="s">
        <v>27</v>
      </c>
      <c r="P23" s="20">
        <v>73279</v>
      </c>
      <c r="Q23" s="22">
        <v>46180</v>
      </c>
      <c r="R23" s="14" t="s">
        <v>33</v>
      </c>
      <c r="S23" s="23"/>
      <c r="T23" s="14" t="s">
        <v>34</v>
      </c>
      <c r="U23" s="23"/>
      <c r="V23" s="25">
        <f t="shared" ca="1" si="0"/>
        <v>58</v>
      </c>
    </row>
    <row r="24" spans="1:22" ht="26.25" thickBot="1">
      <c r="A24" s="2">
        <v>23</v>
      </c>
      <c r="B24" s="15" t="s">
        <v>81</v>
      </c>
      <c r="C24" s="16" t="s">
        <v>23</v>
      </c>
      <c r="D24" s="17">
        <v>46153</v>
      </c>
      <c r="E24" s="14" t="s">
        <v>90</v>
      </c>
      <c r="F24" s="14" t="s">
        <v>90</v>
      </c>
      <c r="G24" s="17">
        <v>46150</v>
      </c>
      <c r="H24" s="14" t="s">
        <v>91</v>
      </c>
      <c r="I24" s="14">
        <v>98</v>
      </c>
      <c r="J24" s="18">
        <v>19976</v>
      </c>
      <c r="K24" s="23"/>
      <c r="L24" s="14">
        <v>995.8</v>
      </c>
      <c r="M24" s="14">
        <v>949.01</v>
      </c>
      <c r="N24" s="20">
        <v>19929.21</v>
      </c>
      <c r="O24" s="21" t="s">
        <v>27</v>
      </c>
      <c r="P24" s="20">
        <v>19929</v>
      </c>
      <c r="Q24" s="22">
        <v>46180</v>
      </c>
      <c r="R24" s="14" t="s">
        <v>33</v>
      </c>
      <c r="S24" s="23"/>
      <c r="T24" s="14" t="s">
        <v>34</v>
      </c>
      <c r="U24" s="23"/>
      <c r="V24" s="25">
        <f t="shared" ca="1" si="0"/>
        <v>58</v>
      </c>
    </row>
    <row r="25" spans="1:22" ht="26.25" thickBot="1">
      <c r="A25" s="14">
        <v>24</v>
      </c>
      <c r="B25" s="15" t="s">
        <v>92</v>
      </c>
      <c r="C25" s="16" t="s">
        <v>23</v>
      </c>
      <c r="D25" s="17">
        <v>46051</v>
      </c>
      <c r="E25" s="14" t="s">
        <v>93</v>
      </c>
      <c r="F25" s="14" t="s">
        <v>94</v>
      </c>
      <c r="G25" s="17">
        <v>46041</v>
      </c>
      <c r="H25" s="14" t="s">
        <v>95</v>
      </c>
      <c r="I25" s="14">
        <v>79</v>
      </c>
      <c r="J25" s="18">
        <v>125105</v>
      </c>
      <c r="K25" s="14" t="s">
        <v>27</v>
      </c>
      <c r="L25" s="14" t="s">
        <v>27</v>
      </c>
      <c r="M25" s="19">
        <v>6255.25</v>
      </c>
      <c r="N25" s="20">
        <v>131360.25</v>
      </c>
      <c r="O25" s="21" t="s">
        <v>27</v>
      </c>
      <c r="P25" s="20">
        <v>131360</v>
      </c>
      <c r="Q25" s="22">
        <v>46071</v>
      </c>
      <c r="R25" s="14" t="s">
        <v>33</v>
      </c>
      <c r="S25" s="23"/>
      <c r="T25" s="14" t="s">
        <v>34</v>
      </c>
      <c r="U25" s="23"/>
      <c r="V25" s="25">
        <f t="shared" ca="1" si="0"/>
        <v>167</v>
      </c>
    </row>
    <row r="26" spans="1:22" ht="26.25" thickBot="1">
      <c r="A26" s="2">
        <v>25</v>
      </c>
      <c r="B26" s="15" t="s">
        <v>96</v>
      </c>
      <c r="C26" s="16" t="s">
        <v>23</v>
      </c>
      <c r="D26" s="17">
        <v>46101</v>
      </c>
      <c r="E26" s="14" t="s">
        <v>97</v>
      </c>
      <c r="F26" s="14" t="s">
        <v>98</v>
      </c>
      <c r="G26" s="17">
        <v>46094</v>
      </c>
      <c r="H26" s="14">
        <v>11</v>
      </c>
      <c r="I26" s="23"/>
      <c r="J26" s="18">
        <v>257450</v>
      </c>
      <c r="K26" s="14" t="s">
        <v>27</v>
      </c>
      <c r="L26" s="14" t="s">
        <v>27</v>
      </c>
      <c r="M26" s="14" t="s">
        <v>27</v>
      </c>
      <c r="N26" s="20">
        <v>257450</v>
      </c>
      <c r="O26" s="21" t="s">
        <v>27</v>
      </c>
      <c r="P26" s="20">
        <v>257450</v>
      </c>
      <c r="Q26" s="22">
        <v>46124</v>
      </c>
      <c r="R26" s="14" t="s">
        <v>99</v>
      </c>
      <c r="S26" s="23"/>
      <c r="T26" s="14" t="s">
        <v>34</v>
      </c>
      <c r="U26" s="23"/>
      <c r="V26" s="25">
        <f t="shared" ca="1" si="0"/>
        <v>114</v>
      </c>
    </row>
    <row r="27" spans="1:22" ht="26.25" thickBot="1">
      <c r="A27" s="14">
        <v>26</v>
      </c>
      <c r="B27" s="15" t="s">
        <v>100</v>
      </c>
      <c r="C27" s="16" t="s">
        <v>23</v>
      </c>
      <c r="D27" s="17">
        <v>46165</v>
      </c>
      <c r="E27" s="14" t="s">
        <v>101</v>
      </c>
      <c r="F27" s="14" t="s">
        <v>101</v>
      </c>
      <c r="G27" s="17">
        <v>46162</v>
      </c>
      <c r="H27" s="14">
        <v>88</v>
      </c>
      <c r="I27" s="14">
        <v>2418</v>
      </c>
      <c r="J27" s="18">
        <v>22585</v>
      </c>
      <c r="K27" s="23"/>
      <c r="L27" s="23"/>
      <c r="M27" s="19">
        <v>4066</v>
      </c>
      <c r="N27" s="20">
        <v>26651</v>
      </c>
      <c r="O27" s="21" t="s">
        <v>27</v>
      </c>
      <c r="P27" s="20">
        <v>26651</v>
      </c>
      <c r="Q27" s="22">
        <v>46192</v>
      </c>
      <c r="R27" s="14" t="s">
        <v>33</v>
      </c>
      <c r="S27" s="23"/>
      <c r="T27" s="14" t="s">
        <v>34</v>
      </c>
      <c r="U27" s="23"/>
      <c r="V27" s="25">
        <v>46</v>
      </c>
    </row>
    <row r="28" spans="1:22" ht="26.25" thickBot="1">
      <c r="A28" s="2">
        <v>27</v>
      </c>
      <c r="B28" s="15" t="s">
        <v>100</v>
      </c>
      <c r="C28" s="16" t="s">
        <v>23</v>
      </c>
      <c r="D28" s="17">
        <v>46198</v>
      </c>
      <c r="E28" s="14" t="s">
        <v>102</v>
      </c>
      <c r="F28" s="14" t="s">
        <v>102</v>
      </c>
      <c r="G28" s="17">
        <v>46192</v>
      </c>
      <c r="H28" s="14" t="s">
        <v>103</v>
      </c>
      <c r="I28" s="14">
        <v>6009</v>
      </c>
      <c r="J28" s="18">
        <v>112262</v>
      </c>
      <c r="K28" s="23"/>
      <c r="L28" s="23"/>
      <c r="M28" s="19">
        <v>20208</v>
      </c>
      <c r="N28" s="20">
        <v>132470</v>
      </c>
      <c r="O28" s="21" t="s">
        <v>27</v>
      </c>
      <c r="P28" s="20">
        <v>132470</v>
      </c>
      <c r="Q28" s="22">
        <v>46222</v>
      </c>
      <c r="R28" s="14" t="s">
        <v>33</v>
      </c>
      <c r="S28" s="23"/>
      <c r="T28" s="14" t="s">
        <v>34</v>
      </c>
      <c r="U28" s="23"/>
      <c r="V28" s="25">
        <v>16</v>
      </c>
    </row>
    <row r="29" spans="1:22" ht="26.25" thickBot="1">
      <c r="A29" s="14">
        <v>28</v>
      </c>
      <c r="B29" s="15" t="s">
        <v>104</v>
      </c>
      <c r="C29" s="16" t="s">
        <v>23</v>
      </c>
      <c r="D29" s="17">
        <v>46116</v>
      </c>
      <c r="E29" s="14" t="s">
        <v>105</v>
      </c>
      <c r="F29" s="14" t="s">
        <v>105</v>
      </c>
      <c r="G29" s="17">
        <v>46116</v>
      </c>
      <c r="H29" s="14" t="s">
        <v>106</v>
      </c>
      <c r="I29" s="14">
        <v>137</v>
      </c>
      <c r="J29" s="18">
        <v>44833.5</v>
      </c>
      <c r="K29" s="23"/>
      <c r="L29" s="23"/>
      <c r="M29" s="19">
        <v>2241.7600000000002</v>
      </c>
      <c r="N29" s="20">
        <v>47075.26</v>
      </c>
      <c r="O29" s="21" t="s">
        <v>27</v>
      </c>
      <c r="P29" s="20">
        <v>47075</v>
      </c>
      <c r="Q29" s="22">
        <v>46146</v>
      </c>
      <c r="R29" s="14" t="s">
        <v>33</v>
      </c>
      <c r="S29" s="23"/>
      <c r="T29" s="14" t="s">
        <v>34</v>
      </c>
      <c r="U29" s="23"/>
      <c r="V29" s="25">
        <v>92</v>
      </c>
    </row>
    <row r="30" spans="1:22" ht="26.25" thickBot="1">
      <c r="A30" s="2">
        <v>29</v>
      </c>
      <c r="B30" s="15" t="s">
        <v>104</v>
      </c>
      <c r="C30" s="16" t="s">
        <v>23</v>
      </c>
      <c r="D30" s="17">
        <v>46174</v>
      </c>
      <c r="E30" s="14" t="s">
        <v>107</v>
      </c>
      <c r="F30" s="14" t="s">
        <v>107</v>
      </c>
      <c r="G30" s="17">
        <v>46174</v>
      </c>
      <c r="H30" s="14" t="s">
        <v>108</v>
      </c>
      <c r="I30" s="14">
        <v>90</v>
      </c>
      <c r="J30" s="18">
        <v>46929.51</v>
      </c>
      <c r="K30" s="14">
        <v>120</v>
      </c>
      <c r="L30" s="23"/>
      <c r="M30" s="19">
        <v>2346.46</v>
      </c>
      <c r="N30" s="20">
        <v>49395.97</v>
      </c>
      <c r="O30" s="21" t="s">
        <v>27</v>
      </c>
      <c r="P30" s="20">
        <v>49396</v>
      </c>
      <c r="Q30" s="22">
        <v>46204</v>
      </c>
      <c r="R30" s="14" t="s">
        <v>33</v>
      </c>
      <c r="S30" s="23"/>
      <c r="T30" s="14" t="s">
        <v>34</v>
      </c>
      <c r="U30" s="23"/>
      <c r="V30" s="25">
        <v>34</v>
      </c>
    </row>
    <row r="31" spans="1:22" ht="26.25" thickBot="1">
      <c r="A31" s="14">
        <v>30</v>
      </c>
      <c r="B31" s="15" t="s">
        <v>104</v>
      </c>
      <c r="C31" s="16" t="s">
        <v>23</v>
      </c>
      <c r="D31" s="17">
        <v>46202</v>
      </c>
      <c r="E31" s="14" t="s">
        <v>109</v>
      </c>
      <c r="F31" s="14" t="s">
        <v>109</v>
      </c>
      <c r="G31" s="17">
        <v>46202</v>
      </c>
      <c r="H31" s="14" t="s">
        <v>109</v>
      </c>
      <c r="I31" s="14">
        <v>72</v>
      </c>
      <c r="J31" s="18">
        <v>29841.57</v>
      </c>
      <c r="K31" s="14">
        <v>120</v>
      </c>
      <c r="L31" s="23"/>
      <c r="M31" s="19">
        <v>1492.08</v>
      </c>
      <c r="N31" s="20">
        <v>31453.65</v>
      </c>
      <c r="O31" s="21" t="s">
        <v>27</v>
      </c>
      <c r="P31" s="20">
        <v>31454</v>
      </c>
      <c r="Q31" s="22">
        <v>46232</v>
      </c>
      <c r="R31" s="14" t="s">
        <v>33</v>
      </c>
      <c r="S31" s="23"/>
      <c r="T31" s="14" t="s">
        <v>34</v>
      </c>
      <c r="U31" s="23"/>
      <c r="V31" s="25">
        <v>6</v>
      </c>
    </row>
    <row r="32" spans="1:22" ht="26.25" thickBot="1">
      <c r="A32" s="2">
        <v>31</v>
      </c>
      <c r="B32" s="15" t="s">
        <v>110</v>
      </c>
      <c r="C32" s="16" t="s">
        <v>23</v>
      </c>
      <c r="D32" s="17">
        <v>45941</v>
      </c>
      <c r="E32" s="14" t="s">
        <v>111</v>
      </c>
      <c r="F32" s="14" t="s">
        <v>112</v>
      </c>
      <c r="G32" s="17">
        <v>45908</v>
      </c>
      <c r="H32" s="14">
        <v>273811</v>
      </c>
      <c r="I32" s="14">
        <v>4</v>
      </c>
      <c r="J32" s="18">
        <v>26588</v>
      </c>
      <c r="K32" s="14" t="s">
        <v>27</v>
      </c>
      <c r="L32" s="14" t="s">
        <v>27</v>
      </c>
      <c r="M32" s="19">
        <v>1329.4</v>
      </c>
      <c r="N32" s="20">
        <v>27917.4</v>
      </c>
      <c r="O32" s="21" t="s">
        <v>27</v>
      </c>
      <c r="P32" s="20">
        <v>27917</v>
      </c>
      <c r="Q32" s="22">
        <v>45938</v>
      </c>
      <c r="R32" s="14" t="s">
        <v>113</v>
      </c>
      <c r="S32" s="27"/>
      <c r="T32" s="23">
        <v>16704</v>
      </c>
      <c r="U32" s="23"/>
      <c r="V32" s="25">
        <v>300</v>
      </c>
    </row>
    <row r="33" spans="1:22" ht="26.25" thickBot="1">
      <c r="A33" s="14">
        <v>32</v>
      </c>
      <c r="B33" s="15" t="s">
        <v>110</v>
      </c>
      <c r="C33" s="16" t="s">
        <v>23</v>
      </c>
      <c r="D33" s="17">
        <v>45941</v>
      </c>
      <c r="E33" s="14" t="s">
        <v>114</v>
      </c>
      <c r="F33" s="14" t="s">
        <v>115</v>
      </c>
      <c r="G33" s="17">
        <v>45908</v>
      </c>
      <c r="H33" s="14">
        <v>273812</v>
      </c>
      <c r="I33" s="14">
        <v>5</v>
      </c>
      <c r="J33" s="18">
        <v>20700</v>
      </c>
      <c r="K33" s="14" t="s">
        <v>27</v>
      </c>
      <c r="L33" s="14" t="s">
        <v>27</v>
      </c>
      <c r="M33" s="19">
        <v>1035</v>
      </c>
      <c r="N33" s="20">
        <v>21735</v>
      </c>
      <c r="O33" s="21" t="s">
        <v>27</v>
      </c>
      <c r="P33" s="20">
        <v>21735</v>
      </c>
      <c r="Q33" s="22">
        <v>45938</v>
      </c>
      <c r="R33" s="14" t="s">
        <v>33</v>
      </c>
      <c r="S33" s="23"/>
      <c r="T33" s="14" t="s">
        <v>34</v>
      </c>
      <c r="U33" s="23"/>
      <c r="V33" s="25">
        <v>300</v>
      </c>
    </row>
    <row r="34" spans="1:22" ht="26.25" thickBot="1">
      <c r="A34" s="2">
        <v>33</v>
      </c>
      <c r="B34" s="15" t="s">
        <v>110</v>
      </c>
      <c r="C34" s="16" t="s">
        <v>23</v>
      </c>
      <c r="D34" s="17">
        <v>45941</v>
      </c>
      <c r="E34" s="14" t="s">
        <v>116</v>
      </c>
      <c r="F34" s="14" t="s">
        <v>117</v>
      </c>
      <c r="G34" s="17">
        <v>45908</v>
      </c>
      <c r="H34" s="14">
        <v>273813</v>
      </c>
      <c r="I34" s="14">
        <v>4</v>
      </c>
      <c r="J34" s="18">
        <v>8256</v>
      </c>
      <c r="K34" s="14" t="s">
        <v>27</v>
      </c>
      <c r="L34" s="14" t="s">
        <v>27</v>
      </c>
      <c r="M34" s="14">
        <v>412.8</v>
      </c>
      <c r="N34" s="20">
        <v>8668.7999999999993</v>
      </c>
      <c r="O34" s="21" t="s">
        <v>27</v>
      </c>
      <c r="P34" s="20">
        <v>8669</v>
      </c>
      <c r="Q34" s="22">
        <v>45938</v>
      </c>
      <c r="R34" s="14" t="s">
        <v>33</v>
      </c>
      <c r="S34" s="23"/>
      <c r="T34" s="14" t="s">
        <v>34</v>
      </c>
      <c r="U34" s="23"/>
      <c r="V34" s="25">
        <v>300</v>
      </c>
    </row>
    <row r="35" spans="1:22" ht="26.25" thickBot="1">
      <c r="A35" s="14">
        <v>34</v>
      </c>
      <c r="B35" s="15" t="s">
        <v>110</v>
      </c>
      <c r="C35" s="16" t="s">
        <v>23</v>
      </c>
      <c r="D35" s="17">
        <v>45941</v>
      </c>
      <c r="E35" s="14" t="s">
        <v>118</v>
      </c>
      <c r="F35" s="14" t="s">
        <v>119</v>
      </c>
      <c r="G35" s="17">
        <v>45908</v>
      </c>
      <c r="H35" s="14">
        <v>273814</v>
      </c>
      <c r="I35" s="14">
        <v>4</v>
      </c>
      <c r="J35" s="18">
        <v>13112</v>
      </c>
      <c r="K35" s="14" t="s">
        <v>27</v>
      </c>
      <c r="L35" s="14" t="s">
        <v>27</v>
      </c>
      <c r="M35" s="14">
        <v>655.6</v>
      </c>
      <c r="N35" s="20">
        <v>13767.6</v>
      </c>
      <c r="O35" s="21" t="s">
        <v>27</v>
      </c>
      <c r="P35" s="20">
        <v>13768</v>
      </c>
      <c r="Q35" s="22">
        <v>45938</v>
      </c>
      <c r="R35" s="14" t="s">
        <v>33</v>
      </c>
      <c r="S35" s="23"/>
      <c r="T35" s="14" t="s">
        <v>34</v>
      </c>
      <c r="U35" s="23"/>
      <c r="V35" s="25">
        <v>300</v>
      </c>
    </row>
    <row r="36" spans="1:22" ht="26.25" thickBot="1">
      <c r="A36" s="2">
        <v>35</v>
      </c>
      <c r="B36" s="15" t="s">
        <v>110</v>
      </c>
      <c r="C36" s="16" t="s">
        <v>23</v>
      </c>
      <c r="D36" s="17">
        <v>45941</v>
      </c>
      <c r="E36" s="14" t="s">
        <v>120</v>
      </c>
      <c r="F36" s="14" t="s">
        <v>121</v>
      </c>
      <c r="G36" s="17">
        <v>45908</v>
      </c>
      <c r="H36" s="14">
        <v>273815</v>
      </c>
      <c r="I36" s="14">
        <v>4</v>
      </c>
      <c r="J36" s="18">
        <v>13112</v>
      </c>
      <c r="K36" s="14" t="s">
        <v>27</v>
      </c>
      <c r="L36" s="14" t="s">
        <v>27</v>
      </c>
      <c r="M36" s="14">
        <v>655.6</v>
      </c>
      <c r="N36" s="20">
        <v>13767.6</v>
      </c>
      <c r="O36" s="21" t="s">
        <v>27</v>
      </c>
      <c r="P36" s="20">
        <v>13768</v>
      </c>
      <c r="Q36" s="22">
        <v>45938</v>
      </c>
      <c r="R36" s="14" t="s">
        <v>33</v>
      </c>
      <c r="S36" s="23"/>
      <c r="T36" s="14" t="s">
        <v>34</v>
      </c>
      <c r="U36" s="23"/>
      <c r="V36" s="25">
        <v>300</v>
      </c>
    </row>
    <row r="37" spans="1:22" ht="26.25" thickBot="1">
      <c r="A37" s="14">
        <v>36</v>
      </c>
      <c r="B37" s="15" t="s">
        <v>110</v>
      </c>
      <c r="C37" s="16" t="s">
        <v>23</v>
      </c>
      <c r="D37" s="17">
        <v>45941</v>
      </c>
      <c r="E37" s="14" t="s">
        <v>122</v>
      </c>
      <c r="F37" s="14" t="s">
        <v>123</v>
      </c>
      <c r="G37" s="17">
        <v>45909</v>
      </c>
      <c r="H37" s="14">
        <v>273956</v>
      </c>
      <c r="I37" s="14">
        <v>5</v>
      </c>
      <c r="J37" s="18">
        <v>20700</v>
      </c>
      <c r="K37" s="14" t="s">
        <v>27</v>
      </c>
      <c r="L37" s="14" t="s">
        <v>27</v>
      </c>
      <c r="M37" s="19">
        <v>1035</v>
      </c>
      <c r="N37" s="20">
        <v>21735</v>
      </c>
      <c r="O37" s="21" t="s">
        <v>27</v>
      </c>
      <c r="P37" s="20">
        <v>21735</v>
      </c>
      <c r="Q37" s="22">
        <v>45939</v>
      </c>
      <c r="R37" s="14" t="s">
        <v>33</v>
      </c>
      <c r="S37" s="23"/>
      <c r="T37" s="14" t="s">
        <v>34</v>
      </c>
      <c r="U37" s="23"/>
      <c r="V37" s="25">
        <v>299</v>
      </c>
    </row>
    <row r="38" spans="1:22" ht="26.25" thickBot="1">
      <c r="A38" s="2">
        <v>37</v>
      </c>
      <c r="B38" s="15" t="s">
        <v>110</v>
      </c>
      <c r="C38" s="16" t="s">
        <v>23</v>
      </c>
      <c r="D38" s="17">
        <v>45941</v>
      </c>
      <c r="E38" s="14" t="s">
        <v>124</v>
      </c>
      <c r="F38" s="14" t="s">
        <v>125</v>
      </c>
      <c r="G38" s="17">
        <v>45909</v>
      </c>
      <c r="H38" s="14">
        <v>273957</v>
      </c>
      <c r="I38" s="14">
        <v>5</v>
      </c>
      <c r="J38" s="18">
        <v>41400</v>
      </c>
      <c r="K38" s="14" t="s">
        <v>27</v>
      </c>
      <c r="L38" s="14" t="s">
        <v>27</v>
      </c>
      <c r="M38" s="19">
        <v>2070</v>
      </c>
      <c r="N38" s="20">
        <v>43470</v>
      </c>
      <c r="O38" s="21" t="s">
        <v>27</v>
      </c>
      <c r="P38" s="20">
        <v>43470</v>
      </c>
      <c r="Q38" s="22">
        <v>45939</v>
      </c>
      <c r="R38" s="14" t="s">
        <v>33</v>
      </c>
      <c r="S38" s="23"/>
      <c r="T38" s="14" t="s">
        <v>34</v>
      </c>
      <c r="U38" s="23"/>
      <c r="V38" s="25">
        <v>299</v>
      </c>
    </row>
    <row r="39" spans="1:22" ht="26.25" thickBot="1">
      <c r="A39" s="14">
        <v>38</v>
      </c>
      <c r="B39" s="15" t="s">
        <v>110</v>
      </c>
      <c r="C39" s="16" t="s">
        <v>23</v>
      </c>
      <c r="D39" s="17">
        <v>45952</v>
      </c>
      <c r="E39" s="14" t="s">
        <v>126</v>
      </c>
      <c r="F39" s="14" t="s">
        <v>127</v>
      </c>
      <c r="G39" s="17">
        <v>45952</v>
      </c>
      <c r="H39" s="14">
        <v>275482</v>
      </c>
      <c r="I39" s="14">
        <v>6</v>
      </c>
      <c r="J39" s="18">
        <v>24960</v>
      </c>
      <c r="K39" s="14" t="s">
        <v>27</v>
      </c>
      <c r="L39" s="14" t="s">
        <v>27</v>
      </c>
      <c r="M39" s="19">
        <v>1248</v>
      </c>
      <c r="N39" s="20">
        <v>26208</v>
      </c>
      <c r="O39" s="21" t="s">
        <v>27</v>
      </c>
      <c r="P39" s="20">
        <v>26208</v>
      </c>
      <c r="Q39" s="22">
        <v>45982</v>
      </c>
      <c r="R39" s="14" t="s">
        <v>33</v>
      </c>
      <c r="S39" s="23"/>
      <c r="T39" s="14" t="s">
        <v>34</v>
      </c>
      <c r="U39" s="23"/>
      <c r="V39" s="25">
        <v>256</v>
      </c>
    </row>
    <row r="40" spans="1:22" ht="26.25" thickBot="1">
      <c r="A40" s="2">
        <v>39</v>
      </c>
      <c r="B40" s="15" t="s">
        <v>110</v>
      </c>
      <c r="C40" s="16" t="s">
        <v>23</v>
      </c>
      <c r="D40" s="17">
        <v>45952</v>
      </c>
      <c r="E40" s="14" t="s">
        <v>128</v>
      </c>
      <c r="F40" s="14" t="s">
        <v>129</v>
      </c>
      <c r="G40" s="17">
        <v>45936</v>
      </c>
      <c r="H40" s="14">
        <v>275544</v>
      </c>
      <c r="I40" s="14">
        <v>4</v>
      </c>
      <c r="J40" s="18">
        <v>16976</v>
      </c>
      <c r="K40" s="14" t="s">
        <v>27</v>
      </c>
      <c r="L40" s="14" t="s">
        <v>27</v>
      </c>
      <c r="M40" s="14">
        <v>848.8</v>
      </c>
      <c r="N40" s="20">
        <v>17824.8</v>
      </c>
      <c r="O40" s="21" t="s">
        <v>27</v>
      </c>
      <c r="P40" s="20">
        <v>17825</v>
      </c>
      <c r="Q40" s="22">
        <v>45966</v>
      </c>
      <c r="R40" s="14" t="s">
        <v>33</v>
      </c>
      <c r="S40" s="23"/>
      <c r="T40" s="14" t="s">
        <v>34</v>
      </c>
      <c r="U40" s="23"/>
      <c r="V40" s="25">
        <v>272</v>
      </c>
    </row>
    <row r="41" spans="1:22" ht="26.25" thickBot="1">
      <c r="A41" s="14">
        <v>40</v>
      </c>
      <c r="B41" s="15" t="s">
        <v>110</v>
      </c>
      <c r="C41" s="16" t="s">
        <v>23</v>
      </c>
      <c r="D41" s="17">
        <v>45959</v>
      </c>
      <c r="E41" s="14" t="s">
        <v>130</v>
      </c>
      <c r="F41" s="14" t="s">
        <v>131</v>
      </c>
      <c r="G41" s="17">
        <v>45946</v>
      </c>
      <c r="H41" s="14">
        <v>276560</v>
      </c>
      <c r="I41" s="14">
        <v>20</v>
      </c>
      <c r="J41" s="18">
        <v>20580</v>
      </c>
      <c r="K41" s="14" t="s">
        <v>27</v>
      </c>
      <c r="L41" s="14" t="s">
        <v>27</v>
      </c>
      <c r="M41" s="19">
        <v>1029</v>
      </c>
      <c r="N41" s="20">
        <v>21609</v>
      </c>
      <c r="O41" s="21" t="s">
        <v>27</v>
      </c>
      <c r="P41" s="20">
        <v>21609</v>
      </c>
      <c r="Q41" s="22">
        <v>45976</v>
      </c>
      <c r="R41" s="14" t="s">
        <v>33</v>
      </c>
      <c r="S41" s="23"/>
      <c r="T41" s="14" t="s">
        <v>34</v>
      </c>
      <c r="U41" s="23"/>
      <c r="V41" s="25">
        <v>262</v>
      </c>
    </row>
    <row r="42" spans="1:22" ht="26.25" thickBot="1">
      <c r="A42" s="2">
        <v>41</v>
      </c>
      <c r="B42" s="15" t="s">
        <v>132</v>
      </c>
      <c r="C42" s="16" t="s">
        <v>23</v>
      </c>
      <c r="D42" s="17">
        <v>46064</v>
      </c>
      <c r="E42" s="14" t="s">
        <v>133</v>
      </c>
      <c r="F42" s="14" t="s">
        <v>134</v>
      </c>
      <c r="G42" s="17">
        <v>46042</v>
      </c>
      <c r="H42" s="14">
        <v>5382</v>
      </c>
      <c r="I42" s="14">
        <v>19</v>
      </c>
      <c r="J42" s="18">
        <v>33381</v>
      </c>
      <c r="K42" s="14" t="s">
        <v>27</v>
      </c>
      <c r="L42" s="19">
        <v>1669.05</v>
      </c>
      <c r="M42" s="19">
        <v>1585.55</v>
      </c>
      <c r="N42" s="20">
        <v>33297.5</v>
      </c>
      <c r="O42" s="21" t="s">
        <v>27</v>
      </c>
      <c r="P42" s="20">
        <v>33298</v>
      </c>
      <c r="Q42" s="22">
        <v>46072</v>
      </c>
      <c r="R42" s="14" t="s">
        <v>33</v>
      </c>
      <c r="S42" s="23"/>
      <c r="T42" s="14" t="s">
        <v>34</v>
      </c>
      <c r="U42" s="23"/>
      <c r="V42" s="25">
        <f t="shared" ref="V42:V46" ca="1" si="1">TODAY()-G42</f>
        <v>166</v>
      </c>
    </row>
    <row r="43" spans="1:22" ht="26.25" thickBot="1">
      <c r="A43" s="14">
        <v>42</v>
      </c>
      <c r="B43" s="15" t="s">
        <v>132</v>
      </c>
      <c r="C43" s="16" t="s">
        <v>23</v>
      </c>
      <c r="D43" s="17">
        <v>46064</v>
      </c>
      <c r="E43" s="14" t="s">
        <v>135</v>
      </c>
      <c r="F43" s="14" t="s">
        <v>136</v>
      </c>
      <c r="G43" s="17">
        <v>46042</v>
      </c>
      <c r="H43" s="14">
        <v>5381</v>
      </c>
      <c r="I43" s="14">
        <v>48</v>
      </c>
      <c r="J43" s="18">
        <v>75300</v>
      </c>
      <c r="K43" s="14" t="s">
        <v>27</v>
      </c>
      <c r="L43" s="14" t="s">
        <v>27</v>
      </c>
      <c r="M43" s="19">
        <v>3765</v>
      </c>
      <c r="N43" s="20">
        <v>79065</v>
      </c>
      <c r="O43" s="21" t="s">
        <v>27</v>
      </c>
      <c r="P43" s="20">
        <v>79065</v>
      </c>
      <c r="Q43" s="22">
        <v>46072</v>
      </c>
      <c r="R43" s="14" t="s">
        <v>33</v>
      </c>
      <c r="S43" s="23"/>
      <c r="T43" s="14" t="s">
        <v>34</v>
      </c>
      <c r="U43" s="23"/>
      <c r="V43" s="25">
        <f t="shared" ca="1" si="1"/>
        <v>166</v>
      </c>
    </row>
    <row r="44" spans="1:22" ht="26.25" thickBot="1">
      <c r="A44" s="2">
        <v>43</v>
      </c>
      <c r="B44" s="15" t="s">
        <v>137</v>
      </c>
      <c r="C44" s="16" t="s">
        <v>23</v>
      </c>
      <c r="D44" s="17">
        <v>46090</v>
      </c>
      <c r="E44" s="14" t="s">
        <v>138</v>
      </c>
      <c r="F44" s="14" t="s">
        <v>139</v>
      </c>
      <c r="G44" s="17">
        <v>46077</v>
      </c>
      <c r="H44" s="14" t="s">
        <v>140</v>
      </c>
      <c r="I44" s="14">
        <v>398</v>
      </c>
      <c r="J44" s="18">
        <v>76741.039999999994</v>
      </c>
      <c r="K44" s="14">
        <v>700</v>
      </c>
      <c r="L44" s="14" t="s">
        <v>27</v>
      </c>
      <c r="M44" s="19">
        <v>3871.78</v>
      </c>
      <c r="N44" s="20">
        <v>81312.820000000007</v>
      </c>
      <c r="O44" s="21" t="s">
        <v>27</v>
      </c>
      <c r="P44" s="20">
        <v>81313</v>
      </c>
      <c r="Q44" s="22">
        <v>46107</v>
      </c>
      <c r="R44" s="14" t="s">
        <v>33</v>
      </c>
      <c r="S44" s="23"/>
      <c r="T44" s="14" t="s">
        <v>34</v>
      </c>
      <c r="U44" s="23"/>
      <c r="V44" s="25">
        <f t="shared" ca="1" si="1"/>
        <v>131</v>
      </c>
    </row>
    <row r="45" spans="1:22" ht="26.25" thickBot="1">
      <c r="A45" s="14">
        <v>44</v>
      </c>
      <c r="B45" s="15" t="s">
        <v>137</v>
      </c>
      <c r="C45" s="16" t="s">
        <v>23</v>
      </c>
      <c r="D45" s="17">
        <v>46090</v>
      </c>
      <c r="E45" s="14" t="s">
        <v>141</v>
      </c>
      <c r="F45" s="14" t="s">
        <v>142</v>
      </c>
      <c r="G45" s="17">
        <v>46077</v>
      </c>
      <c r="H45" s="14" t="s">
        <v>143</v>
      </c>
      <c r="I45" s="14">
        <v>456</v>
      </c>
      <c r="J45" s="18">
        <v>91274.26</v>
      </c>
      <c r="K45" s="14">
        <v>700</v>
      </c>
      <c r="L45" s="14" t="s">
        <v>27</v>
      </c>
      <c r="M45" s="19">
        <v>4598.74</v>
      </c>
      <c r="N45" s="20">
        <v>96573</v>
      </c>
      <c r="O45" s="21" t="s">
        <v>27</v>
      </c>
      <c r="P45" s="20">
        <v>96573</v>
      </c>
      <c r="Q45" s="22">
        <v>46107</v>
      </c>
      <c r="R45" s="14" t="s">
        <v>33</v>
      </c>
      <c r="S45" s="23"/>
      <c r="T45" s="14" t="s">
        <v>34</v>
      </c>
      <c r="U45" s="23"/>
      <c r="V45" s="25">
        <f t="shared" ca="1" si="1"/>
        <v>131</v>
      </c>
    </row>
    <row r="46" spans="1:22" ht="26.25" thickBot="1">
      <c r="A46" s="2">
        <v>45</v>
      </c>
      <c r="B46" s="15" t="s">
        <v>137</v>
      </c>
      <c r="C46" s="16" t="s">
        <v>23</v>
      </c>
      <c r="D46" s="17">
        <v>46094</v>
      </c>
      <c r="E46" s="14" t="s">
        <v>144</v>
      </c>
      <c r="F46" s="14" t="s">
        <v>145</v>
      </c>
      <c r="G46" s="17">
        <v>46077</v>
      </c>
      <c r="H46" s="14" t="s">
        <v>146</v>
      </c>
      <c r="I46" s="14">
        <v>2</v>
      </c>
      <c r="J46" s="18">
        <v>10350</v>
      </c>
      <c r="K46" s="28">
        <v>1500</v>
      </c>
      <c r="L46" s="14" t="s">
        <v>27</v>
      </c>
      <c r="M46" s="19">
        <v>1938</v>
      </c>
      <c r="N46" s="20">
        <v>13788</v>
      </c>
      <c r="O46" s="21" t="s">
        <v>27</v>
      </c>
      <c r="P46" s="20">
        <v>13788</v>
      </c>
      <c r="Q46" s="22">
        <v>46107</v>
      </c>
      <c r="R46" s="14" t="s">
        <v>33</v>
      </c>
      <c r="S46" s="23"/>
      <c r="T46" s="14" t="s">
        <v>34</v>
      </c>
      <c r="U46" s="23"/>
      <c r="V46" s="25">
        <f t="shared" ca="1" si="1"/>
        <v>131</v>
      </c>
    </row>
    <row r="47" spans="1:22" ht="26.25" thickBot="1">
      <c r="A47" s="14">
        <v>46</v>
      </c>
      <c r="B47" s="15" t="s">
        <v>147</v>
      </c>
      <c r="C47" s="16" t="s">
        <v>23</v>
      </c>
      <c r="D47" s="17">
        <v>45955</v>
      </c>
      <c r="E47" s="14" t="s">
        <v>148</v>
      </c>
      <c r="F47" s="14" t="s">
        <v>149</v>
      </c>
      <c r="G47" s="17">
        <v>45948</v>
      </c>
      <c r="H47" s="14" t="s">
        <v>150</v>
      </c>
      <c r="I47" s="14">
        <v>113</v>
      </c>
      <c r="J47" s="18">
        <v>97360.75</v>
      </c>
      <c r="K47" s="14" t="s">
        <v>27</v>
      </c>
      <c r="L47" s="14" t="s">
        <v>27</v>
      </c>
      <c r="M47" s="19">
        <v>4868.0600000000004</v>
      </c>
      <c r="N47" s="20">
        <v>102228.81</v>
      </c>
      <c r="O47" s="21" t="s">
        <v>27</v>
      </c>
      <c r="P47" s="20">
        <v>102229</v>
      </c>
      <c r="Q47" s="22">
        <v>45978</v>
      </c>
      <c r="R47" s="14" t="s">
        <v>33</v>
      </c>
      <c r="S47" s="23"/>
      <c r="T47" s="14" t="s">
        <v>34</v>
      </c>
      <c r="U47" s="23"/>
      <c r="V47" s="25">
        <v>260</v>
      </c>
    </row>
    <row r="48" spans="1:22" ht="26.25" thickBot="1">
      <c r="A48" s="2">
        <v>47</v>
      </c>
      <c r="B48" s="15" t="s">
        <v>147</v>
      </c>
      <c r="C48" s="16" t="s">
        <v>23</v>
      </c>
      <c r="D48" s="17">
        <v>45965</v>
      </c>
      <c r="E48" s="14" t="s">
        <v>151</v>
      </c>
      <c r="F48" s="14" t="s">
        <v>152</v>
      </c>
      <c r="G48" s="17">
        <v>45960</v>
      </c>
      <c r="H48" s="14" t="s">
        <v>153</v>
      </c>
      <c r="I48" s="14">
        <v>53</v>
      </c>
      <c r="J48" s="18">
        <v>22817</v>
      </c>
      <c r="K48" s="14" t="s">
        <v>27</v>
      </c>
      <c r="L48" s="14" t="s">
        <v>27</v>
      </c>
      <c r="M48" s="19">
        <v>1140.8499999999999</v>
      </c>
      <c r="N48" s="20">
        <v>23957.85</v>
      </c>
      <c r="O48" s="21" t="s">
        <v>27</v>
      </c>
      <c r="P48" s="20">
        <v>23958</v>
      </c>
      <c r="Q48" s="22">
        <v>45990</v>
      </c>
      <c r="R48" s="14" t="s">
        <v>33</v>
      </c>
      <c r="S48" s="23"/>
      <c r="T48" s="14" t="s">
        <v>34</v>
      </c>
      <c r="U48" s="23"/>
      <c r="V48" s="25">
        <v>248</v>
      </c>
    </row>
    <row r="49" spans="1:22" ht="26.25" thickBot="1">
      <c r="A49" s="14">
        <v>48</v>
      </c>
      <c r="B49" s="15" t="s">
        <v>154</v>
      </c>
      <c r="C49" s="16" t="s">
        <v>23</v>
      </c>
      <c r="D49" s="17">
        <v>46073</v>
      </c>
      <c r="E49" s="14" t="s">
        <v>155</v>
      </c>
      <c r="F49" s="14" t="s">
        <v>156</v>
      </c>
      <c r="G49" s="17">
        <v>46070</v>
      </c>
      <c r="H49" s="14">
        <v>929</v>
      </c>
      <c r="I49" s="14">
        <v>61</v>
      </c>
      <c r="J49" s="18">
        <v>7980</v>
      </c>
      <c r="K49" s="14" t="s">
        <v>27</v>
      </c>
      <c r="L49" s="14" t="s">
        <v>27</v>
      </c>
      <c r="M49" s="14">
        <v>399</v>
      </c>
      <c r="N49" s="20">
        <v>8379</v>
      </c>
      <c r="O49" s="21" t="s">
        <v>27</v>
      </c>
      <c r="P49" s="20">
        <v>8379</v>
      </c>
      <c r="Q49" s="22">
        <v>46100</v>
      </c>
      <c r="R49" s="14" t="s">
        <v>33</v>
      </c>
      <c r="S49" s="23"/>
      <c r="T49" s="14" t="s">
        <v>34</v>
      </c>
      <c r="U49" s="23"/>
      <c r="V49" s="25">
        <v>138</v>
      </c>
    </row>
    <row r="50" spans="1:22" ht="26.25" thickBot="1">
      <c r="A50" s="2">
        <v>49</v>
      </c>
      <c r="B50" s="15" t="s">
        <v>154</v>
      </c>
      <c r="C50" s="16" t="s">
        <v>23</v>
      </c>
      <c r="D50" s="17">
        <v>46144</v>
      </c>
      <c r="E50" s="14" t="s">
        <v>157</v>
      </c>
      <c r="F50" s="14" t="s">
        <v>157</v>
      </c>
      <c r="G50" s="17">
        <v>46144</v>
      </c>
      <c r="H50" s="14" t="s">
        <v>158</v>
      </c>
      <c r="I50" s="14">
        <v>131</v>
      </c>
      <c r="J50" s="18">
        <v>19254</v>
      </c>
      <c r="K50" s="23"/>
      <c r="L50" s="23"/>
      <c r="M50" s="14">
        <v>962.7</v>
      </c>
      <c r="N50" s="20">
        <v>20216.7</v>
      </c>
      <c r="O50" s="21" t="s">
        <v>27</v>
      </c>
      <c r="P50" s="20">
        <v>20217</v>
      </c>
      <c r="Q50" s="22">
        <v>46174</v>
      </c>
      <c r="R50" s="14" t="s">
        <v>33</v>
      </c>
      <c r="S50" s="23"/>
      <c r="T50" s="14" t="s">
        <v>34</v>
      </c>
      <c r="U50" s="23"/>
      <c r="V50" s="25">
        <v>64</v>
      </c>
    </row>
    <row r="51" spans="1:22" ht="26.25" thickBot="1">
      <c r="A51" s="14">
        <v>50</v>
      </c>
      <c r="B51" s="15" t="s">
        <v>159</v>
      </c>
      <c r="C51" s="16" t="s">
        <v>23</v>
      </c>
      <c r="D51" s="17">
        <v>46057</v>
      </c>
      <c r="E51" s="14" t="s">
        <v>160</v>
      </c>
      <c r="F51" s="14" t="s">
        <v>161</v>
      </c>
      <c r="G51" s="17">
        <v>46038</v>
      </c>
      <c r="H51" s="14">
        <v>1924</v>
      </c>
      <c r="I51" s="14">
        <v>72</v>
      </c>
      <c r="J51" s="18">
        <v>138800</v>
      </c>
      <c r="K51" s="14" t="s">
        <v>27</v>
      </c>
      <c r="L51" s="19">
        <v>6940</v>
      </c>
      <c r="M51" s="19">
        <v>6593</v>
      </c>
      <c r="N51" s="20">
        <v>138453</v>
      </c>
      <c r="O51" s="21" t="s">
        <v>27</v>
      </c>
      <c r="P51" s="20">
        <v>138453</v>
      </c>
      <c r="Q51" s="22">
        <v>46068</v>
      </c>
      <c r="R51" s="14" t="s">
        <v>33</v>
      </c>
      <c r="S51" s="23"/>
      <c r="T51" s="14" t="s">
        <v>34</v>
      </c>
      <c r="U51" s="23"/>
      <c r="V51" s="25">
        <f t="shared" ref="V51:V53" ca="1" si="2">TODAY()-G51</f>
        <v>170</v>
      </c>
    </row>
    <row r="52" spans="1:22" ht="26.25" thickBot="1">
      <c r="A52" s="2">
        <v>51</v>
      </c>
      <c r="B52" s="15" t="s">
        <v>159</v>
      </c>
      <c r="C52" s="16" t="s">
        <v>23</v>
      </c>
      <c r="D52" s="17">
        <v>46130</v>
      </c>
      <c r="E52" s="14" t="s">
        <v>162</v>
      </c>
      <c r="F52" s="14" t="s">
        <v>162</v>
      </c>
      <c r="G52" s="17">
        <v>46119</v>
      </c>
      <c r="H52" s="14" t="s">
        <v>163</v>
      </c>
      <c r="I52" s="14">
        <v>134</v>
      </c>
      <c r="J52" s="18">
        <v>150675</v>
      </c>
      <c r="K52" s="23"/>
      <c r="L52" s="23"/>
      <c r="M52" s="19">
        <v>7534</v>
      </c>
      <c r="N52" s="20">
        <v>158209</v>
      </c>
      <c r="O52" s="21" t="s">
        <v>27</v>
      </c>
      <c r="P52" s="20">
        <v>158209</v>
      </c>
      <c r="Q52" s="22">
        <v>46149</v>
      </c>
      <c r="R52" s="14" t="s">
        <v>33</v>
      </c>
      <c r="S52" s="23"/>
      <c r="T52" s="14" t="s">
        <v>34</v>
      </c>
      <c r="U52" s="23"/>
      <c r="V52" s="25">
        <f t="shared" ca="1" si="2"/>
        <v>89</v>
      </c>
    </row>
    <row r="53" spans="1:22" ht="26.25" thickBot="1">
      <c r="A53" s="14">
        <v>52</v>
      </c>
      <c r="B53" s="15" t="s">
        <v>159</v>
      </c>
      <c r="C53" s="16" t="s">
        <v>23</v>
      </c>
      <c r="D53" s="17">
        <v>46130</v>
      </c>
      <c r="E53" s="14" t="s">
        <v>164</v>
      </c>
      <c r="F53" s="14" t="s">
        <v>164</v>
      </c>
      <c r="G53" s="17">
        <v>46119</v>
      </c>
      <c r="H53" s="14" t="s">
        <v>165</v>
      </c>
      <c r="I53" s="14">
        <v>99</v>
      </c>
      <c r="J53" s="18">
        <v>102830</v>
      </c>
      <c r="K53" s="23"/>
      <c r="L53" s="23"/>
      <c r="M53" s="19">
        <v>5142</v>
      </c>
      <c r="N53" s="20">
        <v>107972</v>
      </c>
      <c r="O53" s="21" t="s">
        <v>27</v>
      </c>
      <c r="P53" s="20">
        <v>107972</v>
      </c>
      <c r="Q53" s="22">
        <v>46149</v>
      </c>
      <c r="R53" s="14" t="s">
        <v>33</v>
      </c>
      <c r="S53" s="23"/>
      <c r="T53" s="14" t="s">
        <v>34</v>
      </c>
      <c r="U53" s="23"/>
      <c r="V53" s="25">
        <f t="shared" ca="1" si="2"/>
        <v>89</v>
      </c>
    </row>
    <row r="54" spans="1:22" ht="26.25" thickBot="1">
      <c r="A54" s="2">
        <v>53</v>
      </c>
      <c r="B54" s="15" t="s">
        <v>166</v>
      </c>
      <c r="C54" s="16" t="s">
        <v>23</v>
      </c>
      <c r="D54" s="17">
        <v>45927</v>
      </c>
      <c r="E54" s="14" t="s">
        <v>167</v>
      </c>
      <c r="F54" s="14" t="s">
        <v>168</v>
      </c>
      <c r="G54" s="17">
        <v>45926</v>
      </c>
      <c r="H54" s="14" t="s">
        <v>169</v>
      </c>
      <c r="I54" s="14">
        <v>336</v>
      </c>
      <c r="J54" s="18">
        <v>39647.4</v>
      </c>
      <c r="K54" s="14" t="s">
        <v>27</v>
      </c>
      <c r="L54" s="14" t="s">
        <v>27</v>
      </c>
      <c r="M54" s="19">
        <v>1982.48</v>
      </c>
      <c r="N54" s="20">
        <v>41629.879999999997</v>
      </c>
      <c r="O54" s="21" t="s">
        <v>27</v>
      </c>
      <c r="P54" s="20">
        <v>41630</v>
      </c>
      <c r="Q54" s="22">
        <v>45956</v>
      </c>
      <c r="R54" s="14" t="s">
        <v>33</v>
      </c>
      <c r="S54" s="23"/>
      <c r="T54" s="14" t="s">
        <v>34</v>
      </c>
      <c r="U54" s="23"/>
      <c r="V54" s="25">
        <v>282</v>
      </c>
    </row>
    <row r="55" spans="1:22" ht="26.25" thickBot="1">
      <c r="A55" s="14">
        <v>54</v>
      </c>
      <c r="B55" s="15" t="s">
        <v>166</v>
      </c>
      <c r="C55" s="16" t="s">
        <v>23</v>
      </c>
      <c r="D55" s="17">
        <v>45941</v>
      </c>
      <c r="E55" s="14" t="s">
        <v>170</v>
      </c>
      <c r="F55" s="14" t="s">
        <v>171</v>
      </c>
      <c r="G55" s="17">
        <v>45941</v>
      </c>
      <c r="H55" s="14" t="s">
        <v>172</v>
      </c>
      <c r="I55" s="14">
        <v>48</v>
      </c>
      <c r="J55" s="18">
        <v>2496</v>
      </c>
      <c r="K55" s="14" t="s">
        <v>27</v>
      </c>
      <c r="L55" s="14" t="s">
        <v>27</v>
      </c>
      <c r="M55" s="14">
        <v>124.8</v>
      </c>
      <c r="N55" s="20">
        <v>2620.8000000000002</v>
      </c>
      <c r="O55" s="21" t="s">
        <v>27</v>
      </c>
      <c r="P55" s="20">
        <v>2621</v>
      </c>
      <c r="Q55" s="22">
        <v>45971</v>
      </c>
      <c r="R55" s="14" t="s">
        <v>33</v>
      </c>
      <c r="S55" s="23"/>
      <c r="T55" s="14" t="s">
        <v>34</v>
      </c>
      <c r="U55" s="23"/>
      <c r="V55" s="25">
        <v>267</v>
      </c>
    </row>
    <row r="56" spans="1:22" ht="26.25" thickBot="1">
      <c r="A56" s="2">
        <v>55</v>
      </c>
      <c r="B56" s="15" t="s">
        <v>173</v>
      </c>
      <c r="C56" s="16" t="s">
        <v>23</v>
      </c>
      <c r="D56" s="17">
        <v>46092</v>
      </c>
      <c r="E56" s="14" t="s">
        <v>174</v>
      </c>
      <c r="F56" s="14" t="s">
        <v>175</v>
      </c>
      <c r="G56" s="17">
        <v>46091</v>
      </c>
      <c r="H56" s="14" t="s">
        <v>176</v>
      </c>
      <c r="I56" s="14">
        <v>24</v>
      </c>
      <c r="J56" s="18">
        <v>52560</v>
      </c>
      <c r="K56" s="14" t="s">
        <v>27</v>
      </c>
      <c r="L56" s="14" t="s">
        <v>27</v>
      </c>
      <c r="M56" s="19">
        <v>2628</v>
      </c>
      <c r="N56" s="20">
        <v>55188</v>
      </c>
      <c r="O56" s="21" t="s">
        <v>27</v>
      </c>
      <c r="P56" s="20">
        <v>55188</v>
      </c>
      <c r="Q56" s="22">
        <v>46121</v>
      </c>
      <c r="R56" s="14" t="s">
        <v>28</v>
      </c>
      <c r="S56" s="23"/>
      <c r="T56" s="14" t="s">
        <v>34</v>
      </c>
      <c r="U56" s="23"/>
      <c r="V56" s="25">
        <f t="shared" ref="V56:V58" ca="1" si="3">TODAY()-G56</f>
        <v>117</v>
      </c>
    </row>
    <row r="57" spans="1:22" ht="39" thickBot="1">
      <c r="A57" s="14">
        <v>56</v>
      </c>
      <c r="B57" s="15" t="s">
        <v>177</v>
      </c>
      <c r="C57" s="16" t="s">
        <v>23</v>
      </c>
      <c r="D57" s="17">
        <v>46144</v>
      </c>
      <c r="E57" s="14" t="s">
        <v>178</v>
      </c>
      <c r="F57" s="14" t="s">
        <v>179</v>
      </c>
      <c r="G57" s="17">
        <v>46144</v>
      </c>
      <c r="H57" s="14" t="s">
        <v>180</v>
      </c>
      <c r="I57" s="14">
        <v>38</v>
      </c>
      <c r="J57" s="18">
        <v>18351.990000000002</v>
      </c>
      <c r="K57" s="23"/>
      <c r="L57" s="23"/>
      <c r="M57" s="14">
        <v>917.6</v>
      </c>
      <c r="N57" s="20">
        <v>19269.59</v>
      </c>
      <c r="O57" s="21" t="s">
        <v>27</v>
      </c>
      <c r="P57" s="20">
        <v>19270</v>
      </c>
      <c r="Q57" s="22">
        <v>46174</v>
      </c>
      <c r="R57" s="14" t="s">
        <v>33</v>
      </c>
      <c r="S57" s="23"/>
      <c r="T57" s="14" t="s">
        <v>34</v>
      </c>
      <c r="U57" s="23"/>
      <c r="V57" s="25">
        <f t="shared" ca="1" si="3"/>
        <v>64</v>
      </c>
    </row>
    <row r="58" spans="1:22" ht="26.25" thickBot="1">
      <c r="A58" s="2">
        <v>57</v>
      </c>
      <c r="B58" s="15" t="s">
        <v>177</v>
      </c>
      <c r="C58" s="16" t="s">
        <v>23</v>
      </c>
      <c r="D58" s="17">
        <v>46098</v>
      </c>
      <c r="E58" s="14" t="s">
        <v>181</v>
      </c>
      <c r="F58" s="14" t="s">
        <v>182</v>
      </c>
      <c r="G58" s="17">
        <v>46098</v>
      </c>
      <c r="H58" s="14" t="s">
        <v>183</v>
      </c>
      <c r="I58" s="14">
        <v>70</v>
      </c>
      <c r="J58" s="18">
        <v>4860.82</v>
      </c>
      <c r="K58" s="14" t="s">
        <v>27</v>
      </c>
      <c r="L58" s="14" t="s">
        <v>27</v>
      </c>
      <c r="M58" s="14">
        <v>243.04</v>
      </c>
      <c r="N58" s="20">
        <v>5103.8599999999997</v>
      </c>
      <c r="O58" s="21" t="s">
        <v>27</v>
      </c>
      <c r="P58" s="20">
        <v>5104</v>
      </c>
      <c r="Q58" s="22">
        <v>46128</v>
      </c>
      <c r="R58" s="14" t="s">
        <v>33</v>
      </c>
      <c r="S58" s="23"/>
      <c r="T58" s="14" t="s">
        <v>34</v>
      </c>
      <c r="U58" s="23"/>
      <c r="V58" s="25">
        <f t="shared" ca="1" si="3"/>
        <v>110</v>
      </c>
    </row>
    <row r="59" spans="1:22" ht="26.25" thickBot="1">
      <c r="A59" s="14">
        <v>58</v>
      </c>
      <c r="B59" s="15" t="s">
        <v>184</v>
      </c>
      <c r="C59" s="16" t="s">
        <v>23</v>
      </c>
      <c r="D59" s="17">
        <v>45565</v>
      </c>
      <c r="E59" s="14" t="s">
        <v>185</v>
      </c>
      <c r="F59" s="14" t="s">
        <v>186</v>
      </c>
      <c r="G59" s="17">
        <v>45565</v>
      </c>
      <c r="H59" s="14" t="s">
        <v>187</v>
      </c>
      <c r="I59" s="14">
        <v>128</v>
      </c>
      <c r="J59" s="18">
        <v>25600</v>
      </c>
      <c r="K59" s="14" t="s">
        <v>27</v>
      </c>
      <c r="L59" s="14" t="s">
        <v>27</v>
      </c>
      <c r="M59" s="19">
        <v>4608</v>
      </c>
      <c r="N59" s="20">
        <v>30208</v>
      </c>
      <c r="O59" s="21" t="s">
        <v>27</v>
      </c>
      <c r="P59" s="20">
        <v>30208</v>
      </c>
      <c r="Q59" s="17">
        <v>45595</v>
      </c>
      <c r="R59" s="14" t="s">
        <v>33</v>
      </c>
      <c r="S59" s="23"/>
      <c r="T59" s="14" t="s">
        <v>34</v>
      </c>
      <c r="U59" s="23"/>
      <c r="V59" s="25">
        <v>643</v>
      </c>
    </row>
    <row r="60" spans="1:22" ht="26.25" thickBot="1">
      <c r="A60" s="2">
        <v>59</v>
      </c>
      <c r="B60" s="15" t="s">
        <v>184</v>
      </c>
      <c r="C60" s="16" t="s">
        <v>23</v>
      </c>
      <c r="D60" s="17">
        <v>45767</v>
      </c>
      <c r="E60" s="14" t="s">
        <v>188</v>
      </c>
      <c r="F60" s="14" t="s">
        <v>189</v>
      </c>
      <c r="G60" s="17">
        <v>45767</v>
      </c>
      <c r="H60" s="14" t="s">
        <v>187</v>
      </c>
      <c r="I60" s="14">
        <v>47</v>
      </c>
      <c r="J60" s="18">
        <v>9400</v>
      </c>
      <c r="K60" s="14" t="s">
        <v>27</v>
      </c>
      <c r="L60" s="14" t="s">
        <v>27</v>
      </c>
      <c r="M60" s="14" t="s">
        <v>27</v>
      </c>
      <c r="N60" s="20">
        <v>9400</v>
      </c>
      <c r="O60" s="21" t="s">
        <v>27</v>
      </c>
      <c r="P60" s="20">
        <v>9400</v>
      </c>
      <c r="Q60" s="22">
        <v>45797</v>
      </c>
      <c r="R60" s="14" t="s">
        <v>33</v>
      </c>
      <c r="S60" s="23"/>
      <c r="T60" s="14" t="s">
        <v>34</v>
      </c>
      <c r="U60" s="23"/>
      <c r="V60" s="25">
        <v>441</v>
      </c>
    </row>
    <row r="61" spans="1:22" ht="26.25" thickBot="1">
      <c r="A61" s="14">
        <v>60</v>
      </c>
      <c r="B61" s="15" t="s">
        <v>184</v>
      </c>
      <c r="C61" s="16" t="s">
        <v>23</v>
      </c>
      <c r="D61" s="17">
        <v>45769</v>
      </c>
      <c r="E61" s="14" t="s">
        <v>190</v>
      </c>
      <c r="F61" s="14" t="s">
        <v>191</v>
      </c>
      <c r="G61" s="17">
        <v>45767</v>
      </c>
      <c r="H61" s="14" t="s">
        <v>191</v>
      </c>
      <c r="I61" s="14">
        <v>243</v>
      </c>
      <c r="J61" s="18">
        <v>212124</v>
      </c>
      <c r="K61" s="14" t="s">
        <v>27</v>
      </c>
      <c r="L61" s="14" t="s">
        <v>27</v>
      </c>
      <c r="M61" s="14" t="s">
        <v>27</v>
      </c>
      <c r="N61" s="20">
        <v>212124</v>
      </c>
      <c r="O61" s="21" t="s">
        <v>27</v>
      </c>
      <c r="P61" s="20">
        <v>212124</v>
      </c>
      <c r="Q61" s="22">
        <v>45797</v>
      </c>
      <c r="R61" s="14" t="s">
        <v>33</v>
      </c>
      <c r="S61" s="23"/>
      <c r="T61" s="14" t="s">
        <v>34</v>
      </c>
      <c r="U61" s="23"/>
      <c r="V61" s="25">
        <v>441</v>
      </c>
    </row>
    <row r="62" spans="1:22" ht="26.25" thickBot="1">
      <c r="A62" s="2">
        <v>61</v>
      </c>
      <c r="B62" s="15" t="s">
        <v>184</v>
      </c>
      <c r="C62" s="16" t="s">
        <v>23</v>
      </c>
      <c r="D62" s="17">
        <v>45896</v>
      </c>
      <c r="E62" s="14" t="s">
        <v>192</v>
      </c>
      <c r="F62" s="14" t="s">
        <v>193</v>
      </c>
      <c r="G62" s="17">
        <v>45896</v>
      </c>
      <c r="H62" s="14" t="s">
        <v>193</v>
      </c>
      <c r="I62" s="14">
        <v>173</v>
      </c>
      <c r="J62" s="18">
        <v>76790</v>
      </c>
      <c r="K62" s="14" t="s">
        <v>27</v>
      </c>
      <c r="L62" s="14" t="s">
        <v>27</v>
      </c>
      <c r="M62" s="14" t="s">
        <v>27</v>
      </c>
      <c r="N62" s="20">
        <v>76790</v>
      </c>
      <c r="O62" s="21" t="s">
        <v>27</v>
      </c>
      <c r="P62" s="20">
        <v>76790</v>
      </c>
      <c r="Q62" s="22">
        <v>45926</v>
      </c>
      <c r="R62" s="14" t="s">
        <v>33</v>
      </c>
      <c r="S62" s="23"/>
      <c r="T62" s="14" t="s">
        <v>34</v>
      </c>
      <c r="U62" s="23"/>
      <c r="V62" s="25">
        <v>312</v>
      </c>
    </row>
    <row r="63" spans="1:22" ht="26.25" thickBot="1">
      <c r="A63" s="14">
        <v>62</v>
      </c>
      <c r="B63" s="15" t="s">
        <v>184</v>
      </c>
      <c r="C63" s="16" t="s">
        <v>23</v>
      </c>
      <c r="D63" s="17">
        <v>45924</v>
      </c>
      <c r="E63" s="14" t="s">
        <v>194</v>
      </c>
      <c r="F63" s="14" t="s">
        <v>195</v>
      </c>
      <c r="G63" s="17">
        <v>45755</v>
      </c>
      <c r="H63" s="14" t="s">
        <v>195</v>
      </c>
      <c r="I63" s="14">
        <v>35</v>
      </c>
      <c r="J63" s="18">
        <v>23897.25</v>
      </c>
      <c r="K63" s="14" t="s">
        <v>27</v>
      </c>
      <c r="L63" s="14" t="s">
        <v>27</v>
      </c>
      <c r="M63" s="14" t="s">
        <v>27</v>
      </c>
      <c r="N63" s="20">
        <v>23897.25</v>
      </c>
      <c r="O63" s="21" t="s">
        <v>27</v>
      </c>
      <c r="P63" s="20">
        <v>23897</v>
      </c>
      <c r="Q63" s="22">
        <v>45785</v>
      </c>
      <c r="R63" s="14" t="s">
        <v>33</v>
      </c>
      <c r="S63" s="23"/>
      <c r="T63" s="14" t="s">
        <v>34</v>
      </c>
      <c r="U63" s="23"/>
      <c r="V63" s="25">
        <v>453</v>
      </c>
    </row>
    <row r="64" spans="1:22" ht="26.25" thickBot="1">
      <c r="A64" s="2">
        <v>63</v>
      </c>
      <c r="B64" s="15" t="s">
        <v>184</v>
      </c>
      <c r="C64" s="16" t="s">
        <v>23</v>
      </c>
      <c r="D64" s="17">
        <v>45924</v>
      </c>
      <c r="E64" s="14" t="s">
        <v>196</v>
      </c>
      <c r="F64" s="14" t="s">
        <v>197</v>
      </c>
      <c r="G64" s="17">
        <v>45924</v>
      </c>
      <c r="H64" s="14" t="s">
        <v>197</v>
      </c>
      <c r="I64" s="14">
        <v>32</v>
      </c>
      <c r="J64" s="18">
        <v>45206</v>
      </c>
      <c r="K64" s="14" t="s">
        <v>27</v>
      </c>
      <c r="L64" s="14" t="s">
        <v>27</v>
      </c>
      <c r="M64" s="14" t="s">
        <v>27</v>
      </c>
      <c r="N64" s="20">
        <v>45206</v>
      </c>
      <c r="O64" s="21" t="s">
        <v>27</v>
      </c>
      <c r="P64" s="20">
        <v>45206</v>
      </c>
      <c r="Q64" s="22">
        <v>45954</v>
      </c>
      <c r="R64" s="14" t="s">
        <v>33</v>
      </c>
      <c r="S64" s="23"/>
      <c r="T64" s="14" t="s">
        <v>34</v>
      </c>
      <c r="U64" s="23"/>
      <c r="V64" s="25">
        <v>284</v>
      </c>
    </row>
    <row r="65" spans="1:22" ht="26.25" thickBot="1">
      <c r="A65" s="14">
        <v>64</v>
      </c>
      <c r="B65" s="15" t="s">
        <v>198</v>
      </c>
      <c r="C65" s="16" t="s">
        <v>23</v>
      </c>
      <c r="D65" s="17">
        <v>45965</v>
      </c>
      <c r="E65" s="14" t="s">
        <v>199</v>
      </c>
      <c r="F65" s="14" t="s">
        <v>200</v>
      </c>
      <c r="G65" s="17">
        <v>45904</v>
      </c>
      <c r="H65" s="14">
        <v>13789</v>
      </c>
      <c r="I65" s="14">
        <v>66</v>
      </c>
      <c r="J65" s="18">
        <v>107825</v>
      </c>
      <c r="K65" s="14" t="s">
        <v>27</v>
      </c>
      <c r="L65" s="14" t="s">
        <v>27</v>
      </c>
      <c r="M65" s="19">
        <v>5391</v>
      </c>
      <c r="N65" s="20">
        <v>113216</v>
      </c>
      <c r="O65" s="21" t="s">
        <v>27</v>
      </c>
      <c r="P65" s="20">
        <v>113216</v>
      </c>
      <c r="Q65" s="22">
        <v>45934</v>
      </c>
      <c r="R65" s="14" t="s">
        <v>33</v>
      </c>
      <c r="S65" s="23"/>
      <c r="T65" s="14" t="s">
        <v>34</v>
      </c>
      <c r="U65" s="23"/>
      <c r="V65" s="25">
        <f t="shared" ref="V65:V67" ca="1" si="4">TODAY()-G65</f>
        <v>304</v>
      </c>
    </row>
    <row r="66" spans="1:22" ht="26.25" thickBot="1">
      <c r="A66" s="2">
        <v>65</v>
      </c>
      <c r="B66" s="15" t="s">
        <v>198</v>
      </c>
      <c r="C66" s="16" t="s">
        <v>23</v>
      </c>
      <c r="D66" s="17">
        <v>45965</v>
      </c>
      <c r="E66" s="14" t="s">
        <v>201</v>
      </c>
      <c r="F66" s="14" t="s">
        <v>202</v>
      </c>
      <c r="G66" s="17">
        <v>45904</v>
      </c>
      <c r="H66" s="14">
        <v>13790</v>
      </c>
      <c r="I66" s="14">
        <v>58</v>
      </c>
      <c r="J66" s="18">
        <v>77290</v>
      </c>
      <c r="K66" s="14" t="s">
        <v>27</v>
      </c>
      <c r="L66" s="14" t="s">
        <v>27</v>
      </c>
      <c r="M66" s="19">
        <v>3864.5</v>
      </c>
      <c r="N66" s="20">
        <v>81154.5</v>
      </c>
      <c r="O66" s="21" t="s">
        <v>27</v>
      </c>
      <c r="P66" s="20">
        <v>81155</v>
      </c>
      <c r="Q66" s="22">
        <v>45934</v>
      </c>
      <c r="R66" s="14" t="s">
        <v>33</v>
      </c>
      <c r="S66" s="23"/>
      <c r="T66" s="14" t="s">
        <v>34</v>
      </c>
      <c r="U66" s="23"/>
      <c r="V66" s="25">
        <f t="shared" ca="1" si="4"/>
        <v>304</v>
      </c>
    </row>
    <row r="67" spans="1:22" ht="26.25" thickBot="1">
      <c r="A67" s="14">
        <v>66</v>
      </c>
      <c r="B67" s="15" t="s">
        <v>203</v>
      </c>
      <c r="C67" s="16" t="s">
        <v>23</v>
      </c>
      <c r="D67" s="17">
        <v>46112</v>
      </c>
      <c r="E67" s="14" t="s">
        <v>204</v>
      </c>
      <c r="F67" s="14" t="s">
        <v>205</v>
      </c>
      <c r="G67" s="17">
        <v>46111</v>
      </c>
      <c r="H67" s="14" t="s">
        <v>205</v>
      </c>
      <c r="I67" s="14">
        <v>130</v>
      </c>
      <c r="J67" s="18">
        <v>13300</v>
      </c>
      <c r="K67" s="14" t="s">
        <v>27</v>
      </c>
      <c r="L67" s="14" t="s">
        <v>27</v>
      </c>
      <c r="M67" s="14" t="s">
        <v>27</v>
      </c>
      <c r="N67" s="20">
        <v>13300</v>
      </c>
      <c r="O67" s="21" t="s">
        <v>27</v>
      </c>
      <c r="P67" s="20">
        <v>13300</v>
      </c>
      <c r="Q67" s="22">
        <v>46141</v>
      </c>
      <c r="R67" s="14" t="s">
        <v>33</v>
      </c>
      <c r="S67" s="23"/>
      <c r="T67" s="14" t="s">
        <v>34</v>
      </c>
      <c r="U67" s="23"/>
      <c r="V67" s="25">
        <f t="shared" ca="1" si="4"/>
        <v>97</v>
      </c>
    </row>
    <row r="68" spans="1:22" ht="26.25" thickBot="1">
      <c r="A68" s="2">
        <v>67</v>
      </c>
      <c r="B68" s="15" t="s">
        <v>206</v>
      </c>
      <c r="C68" s="16" t="s">
        <v>23</v>
      </c>
      <c r="D68" s="17">
        <v>45771</v>
      </c>
      <c r="E68" s="14" t="s">
        <v>207</v>
      </c>
      <c r="F68" s="14" t="s">
        <v>208</v>
      </c>
      <c r="G68" s="17">
        <v>45764</v>
      </c>
      <c r="H68" s="14" t="s">
        <v>209</v>
      </c>
      <c r="I68" s="14">
        <v>75</v>
      </c>
      <c r="J68" s="18">
        <v>12123.45</v>
      </c>
      <c r="K68" s="14" t="s">
        <v>27</v>
      </c>
      <c r="L68" s="14" t="s">
        <v>27</v>
      </c>
      <c r="M68" s="14">
        <v>606.16999999999996</v>
      </c>
      <c r="N68" s="20">
        <v>12729.62</v>
      </c>
      <c r="O68" s="21" t="s">
        <v>27</v>
      </c>
      <c r="P68" s="20">
        <v>12730</v>
      </c>
      <c r="Q68" s="22">
        <v>45794</v>
      </c>
      <c r="R68" s="14" t="s">
        <v>210</v>
      </c>
      <c r="S68" s="23"/>
      <c r="T68" s="14" t="s">
        <v>34</v>
      </c>
      <c r="U68" s="23"/>
      <c r="V68" s="25">
        <v>444</v>
      </c>
    </row>
    <row r="69" spans="1:22" ht="26.25" thickBot="1">
      <c r="A69" s="14">
        <v>68</v>
      </c>
      <c r="B69" s="15" t="s">
        <v>206</v>
      </c>
      <c r="C69" s="16" t="s">
        <v>23</v>
      </c>
      <c r="D69" s="17">
        <v>45829</v>
      </c>
      <c r="E69" s="14" t="s">
        <v>211</v>
      </c>
      <c r="F69" s="14" t="s">
        <v>212</v>
      </c>
      <c r="G69" s="17">
        <v>45822</v>
      </c>
      <c r="H69" s="14" t="s">
        <v>213</v>
      </c>
      <c r="I69" s="14">
        <v>75</v>
      </c>
      <c r="J69" s="18">
        <v>14231.88</v>
      </c>
      <c r="K69" s="14" t="s">
        <v>27</v>
      </c>
      <c r="L69" s="14" t="s">
        <v>27</v>
      </c>
      <c r="M69" s="14">
        <v>711.58</v>
      </c>
      <c r="N69" s="20">
        <v>14943.46</v>
      </c>
      <c r="O69" s="21" t="s">
        <v>27</v>
      </c>
      <c r="P69" s="20">
        <v>14943</v>
      </c>
      <c r="Q69" s="22">
        <v>45852</v>
      </c>
      <c r="R69" s="14" t="s">
        <v>33</v>
      </c>
      <c r="S69" s="23"/>
      <c r="T69" s="14" t="s">
        <v>34</v>
      </c>
      <c r="U69" s="23"/>
      <c r="V69" s="25">
        <v>386</v>
      </c>
    </row>
    <row r="70" spans="1:22" ht="26.25" thickBot="1">
      <c r="A70" s="2">
        <v>69</v>
      </c>
      <c r="B70" s="15" t="s">
        <v>206</v>
      </c>
      <c r="C70" s="16" t="s">
        <v>23</v>
      </c>
      <c r="D70" s="17">
        <v>45917</v>
      </c>
      <c r="E70" s="14" t="s">
        <v>214</v>
      </c>
      <c r="F70" s="14" t="s">
        <v>215</v>
      </c>
      <c r="G70" s="17">
        <v>45909</v>
      </c>
      <c r="H70" s="14" t="s">
        <v>216</v>
      </c>
      <c r="I70" s="14">
        <v>105</v>
      </c>
      <c r="J70" s="18">
        <v>19786</v>
      </c>
      <c r="K70" s="14" t="s">
        <v>27</v>
      </c>
      <c r="L70" s="14" t="s">
        <v>27</v>
      </c>
      <c r="M70" s="14">
        <v>989.3</v>
      </c>
      <c r="N70" s="20">
        <v>20775.3</v>
      </c>
      <c r="O70" s="21" t="s">
        <v>27</v>
      </c>
      <c r="P70" s="20">
        <v>20775</v>
      </c>
      <c r="Q70" s="22">
        <v>45939</v>
      </c>
      <c r="R70" s="14" t="s">
        <v>33</v>
      </c>
      <c r="S70" s="23"/>
      <c r="T70" s="14" t="s">
        <v>34</v>
      </c>
      <c r="U70" s="23"/>
      <c r="V70" s="25">
        <v>299</v>
      </c>
    </row>
    <row r="71" spans="1:22" ht="26.25" thickBot="1">
      <c r="A71" s="14">
        <v>70</v>
      </c>
      <c r="B71" s="15" t="s">
        <v>206</v>
      </c>
      <c r="C71" s="16" t="s">
        <v>23</v>
      </c>
      <c r="D71" s="17">
        <v>45981</v>
      </c>
      <c r="E71" s="14" t="s">
        <v>217</v>
      </c>
      <c r="F71" s="14" t="s">
        <v>218</v>
      </c>
      <c r="G71" s="17">
        <v>45976</v>
      </c>
      <c r="H71" s="14" t="s">
        <v>219</v>
      </c>
      <c r="I71" s="14">
        <v>24</v>
      </c>
      <c r="J71" s="18">
        <v>38342.410000000003</v>
      </c>
      <c r="K71" s="14" t="s">
        <v>27</v>
      </c>
      <c r="L71" s="14" t="s">
        <v>27</v>
      </c>
      <c r="M71" s="19">
        <v>1917.11</v>
      </c>
      <c r="N71" s="20">
        <v>40259.519999999997</v>
      </c>
      <c r="O71" s="21" t="s">
        <v>27</v>
      </c>
      <c r="P71" s="20">
        <v>40260</v>
      </c>
      <c r="Q71" s="22">
        <v>46006</v>
      </c>
      <c r="R71" s="14" t="s">
        <v>33</v>
      </c>
      <c r="S71" s="23"/>
      <c r="T71" s="14" t="s">
        <v>34</v>
      </c>
      <c r="U71" s="23"/>
      <c r="V71" s="25">
        <v>232</v>
      </c>
    </row>
    <row r="72" spans="1:22" ht="26.25" thickBot="1">
      <c r="A72" s="2">
        <v>71</v>
      </c>
      <c r="B72" s="15" t="s">
        <v>206</v>
      </c>
      <c r="C72" s="16" t="s">
        <v>23</v>
      </c>
      <c r="D72" s="17">
        <v>46190</v>
      </c>
      <c r="E72" s="14" t="s">
        <v>220</v>
      </c>
      <c r="F72" s="14" t="s">
        <v>220</v>
      </c>
      <c r="G72" s="17">
        <v>46179</v>
      </c>
      <c r="H72" s="14" t="s">
        <v>221</v>
      </c>
      <c r="I72" s="23"/>
      <c r="J72" s="18">
        <v>14681.89</v>
      </c>
      <c r="K72" s="23"/>
      <c r="L72" s="23"/>
      <c r="M72" s="14">
        <v>734.1</v>
      </c>
      <c r="N72" s="20">
        <v>15415.99</v>
      </c>
      <c r="O72" s="21" t="s">
        <v>27</v>
      </c>
      <c r="P72" s="20">
        <v>15416</v>
      </c>
      <c r="Q72" s="22">
        <v>46209</v>
      </c>
      <c r="R72" s="14" t="s">
        <v>33</v>
      </c>
      <c r="S72" s="14" t="e">
        <v>#REF!</v>
      </c>
      <c r="T72" s="14" t="s">
        <v>34</v>
      </c>
      <c r="U72" s="23"/>
      <c r="V72" s="25">
        <v>29</v>
      </c>
    </row>
    <row r="73" spans="1:22" ht="26.25" thickBot="1">
      <c r="A73" s="14">
        <v>72</v>
      </c>
      <c r="B73" s="15" t="s">
        <v>222</v>
      </c>
      <c r="C73" s="16" t="s">
        <v>23</v>
      </c>
      <c r="D73" s="17">
        <v>46144</v>
      </c>
      <c r="E73" s="14" t="s">
        <v>223</v>
      </c>
      <c r="F73" s="14" t="s">
        <v>223</v>
      </c>
      <c r="G73" s="17">
        <v>46144</v>
      </c>
      <c r="H73" s="14" t="s">
        <v>224</v>
      </c>
      <c r="I73" s="14">
        <v>117</v>
      </c>
      <c r="J73" s="18">
        <v>20564</v>
      </c>
      <c r="K73" s="23"/>
      <c r="L73" s="23"/>
      <c r="M73" s="19">
        <v>1028</v>
      </c>
      <c r="N73" s="20">
        <v>21592</v>
      </c>
      <c r="O73" s="21" t="s">
        <v>27</v>
      </c>
      <c r="P73" s="20">
        <v>21592</v>
      </c>
      <c r="Q73" s="22">
        <v>46174</v>
      </c>
      <c r="R73" s="14" t="s">
        <v>33</v>
      </c>
      <c r="S73" s="23"/>
      <c r="T73" s="14" t="s">
        <v>34</v>
      </c>
      <c r="U73" s="23"/>
      <c r="V73" s="25">
        <v>64</v>
      </c>
    </row>
    <row r="74" spans="1:22" ht="26.25" thickBot="1">
      <c r="A74" s="2">
        <v>73</v>
      </c>
      <c r="B74" s="15" t="s">
        <v>222</v>
      </c>
      <c r="C74" s="16" t="s">
        <v>23</v>
      </c>
      <c r="D74" s="17">
        <v>46144</v>
      </c>
      <c r="E74" s="14" t="s">
        <v>225</v>
      </c>
      <c r="F74" s="14" t="s">
        <v>225</v>
      </c>
      <c r="G74" s="17">
        <v>46144</v>
      </c>
      <c r="H74" s="14" t="s">
        <v>226</v>
      </c>
      <c r="I74" s="14">
        <v>203</v>
      </c>
      <c r="J74" s="18">
        <v>67056</v>
      </c>
      <c r="K74" s="23"/>
      <c r="L74" s="23"/>
      <c r="M74" s="19">
        <v>3352.8</v>
      </c>
      <c r="N74" s="20">
        <v>70408.800000000003</v>
      </c>
      <c r="O74" s="21" t="s">
        <v>27</v>
      </c>
      <c r="P74" s="20">
        <v>70409</v>
      </c>
      <c r="Q74" s="22">
        <v>46174</v>
      </c>
      <c r="R74" s="14" t="s">
        <v>33</v>
      </c>
      <c r="S74" s="23"/>
      <c r="T74" s="14" t="s">
        <v>34</v>
      </c>
      <c r="U74" s="23"/>
      <c r="V74" s="25">
        <v>64</v>
      </c>
    </row>
    <row r="75" spans="1:22" ht="26.25" thickBot="1">
      <c r="A75" s="14">
        <v>74</v>
      </c>
      <c r="B75" s="15" t="s">
        <v>222</v>
      </c>
      <c r="C75" s="16" t="s">
        <v>23</v>
      </c>
      <c r="D75" s="17">
        <v>46203</v>
      </c>
      <c r="E75" s="14" t="s">
        <v>227</v>
      </c>
      <c r="F75" s="14" t="s">
        <v>227</v>
      </c>
      <c r="G75" s="17">
        <v>46203</v>
      </c>
      <c r="H75" s="14" t="s">
        <v>228</v>
      </c>
      <c r="I75" s="14">
        <v>213</v>
      </c>
      <c r="J75" s="18">
        <v>68184</v>
      </c>
      <c r="K75" s="23"/>
      <c r="L75" s="23"/>
      <c r="M75" s="19">
        <v>3409.2</v>
      </c>
      <c r="N75" s="20">
        <v>71593.2</v>
      </c>
      <c r="O75" s="21" t="s">
        <v>27</v>
      </c>
      <c r="P75" s="20">
        <v>71593</v>
      </c>
      <c r="Q75" s="22">
        <v>46233</v>
      </c>
      <c r="R75" s="14" t="s">
        <v>33</v>
      </c>
      <c r="S75" s="23"/>
      <c r="T75" s="14" t="s">
        <v>34</v>
      </c>
      <c r="U75" s="23"/>
      <c r="V75" s="25">
        <v>5</v>
      </c>
    </row>
    <row r="76" spans="1:22" ht="26.25" thickBot="1">
      <c r="A76" s="2">
        <v>75</v>
      </c>
      <c r="B76" s="15" t="s">
        <v>229</v>
      </c>
      <c r="C76" s="16" t="s">
        <v>23</v>
      </c>
      <c r="D76" s="17">
        <v>45862</v>
      </c>
      <c r="E76" s="14" t="s">
        <v>230</v>
      </c>
      <c r="F76" s="14" t="s">
        <v>231</v>
      </c>
      <c r="G76" s="17">
        <v>45855</v>
      </c>
      <c r="H76" s="14" t="s">
        <v>232</v>
      </c>
      <c r="I76" s="14">
        <v>44</v>
      </c>
      <c r="J76" s="18">
        <v>194000</v>
      </c>
      <c r="K76" s="14" t="s">
        <v>27</v>
      </c>
      <c r="L76" s="14" t="s">
        <v>27</v>
      </c>
      <c r="M76" s="19">
        <v>9700</v>
      </c>
      <c r="N76" s="20">
        <v>203700</v>
      </c>
      <c r="O76" s="21" t="s">
        <v>27</v>
      </c>
      <c r="P76" s="20">
        <v>203700</v>
      </c>
      <c r="Q76" s="22">
        <v>45885</v>
      </c>
      <c r="R76" s="14" t="s">
        <v>33</v>
      </c>
      <c r="S76" s="23"/>
      <c r="T76" s="14" t="s">
        <v>34</v>
      </c>
      <c r="U76" s="23"/>
      <c r="V76" s="25">
        <f t="shared" ref="V76:V77" ca="1" si="5">TODAY()-G76</f>
        <v>353</v>
      </c>
    </row>
    <row r="77" spans="1:22" ht="26.25" thickBot="1">
      <c r="A77" s="14">
        <v>76</v>
      </c>
      <c r="B77" s="15" t="s">
        <v>233</v>
      </c>
      <c r="C77" s="16" t="s">
        <v>23</v>
      </c>
      <c r="D77" s="17">
        <v>46098</v>
      </c>
      <c r="E77" s="14" t="s">
        <v>234</v>
      </c>
      <c r="F77" s="14" t="s">
        <v>235</v>
      </c>
      <c r="G77" s="17">
        <v>46091</v>
      </c>
      <c r="H77" s="29">
        <v>706746</v>
      </c>
      <c r="I77" s="14">
        <v>64</v>
      </c>
      <c r="J77" s="18">
        <v>103520</v>
      </c>
      <c r="K77" s="14" t="s">
        <v>27</v>
      </c>
      <c r="L77" s="14" t="s">
        <v>27</v>
      </c>
      <c r="M77" s="19">
        <v>5176</v>
      </c>
      <c r="N77" s="20">
        <v>108696</v>
      </c>
      <c r="O77" s="21" t="s">
        <v>27</v>
      </c>
      <c r="P77" s="20">
        <v>108696</v>
      </c>
      <c r="Q77" s="22">
        <v>46121</v>
      </c>
      <c r="R77" s="14" t="s">
        <v>33</v>
      </c>
      <c r="S77" s="23"/>
      <c r="T77" s="14" t="s">
        <v>34</v>
      </c>
      <c r="U77" s="23"/>
      <c r="V77" s="25">
        <f t="shared" ca="1" si="5"/>
        <v>117</v>
      </c>
    </row>
    <row r="78" spans="1:22" ht="26.25" thickBot="1">
      <c r="A78" s="2">
        <v>77</v>
      </c>
      <c r="B78" s="15" t="s">
        <v>236</v>
      </c>
      <c r="C78" s="16" t="s">
        <v>23</v>
      </c>
      <c r="D78" s="17">
        <v>46112</v>
      </c>
      <c r="E78" s="14" t="s">
        <v>237</v>
      </c>
      <c r="F78" s="14" t="s">
        <v>238</v>
      </c>
      <c r="G78" s="17">
        <v>46105</v>
      </c>
      <c r="H78" s="14" t="s">
        <v>239</v>
      </c>
      <c r="I78" s="14">
        <v>78</v>
      </c>
      <c r="J78" s="18">
        <v>69197</v>
      </c>
      <c r="K78" s="14" t="s">
        <v>27</v>
      </c>
      <c r="L78" s="14" t="s">
        <v>27</v>
      </c>
      <c r="M78" s="19">
        <v>3459.85</v>
      </c>
      <c r="N78" s="20">
        <v>72656.850000000006</v>
      </c>
      <c r="O78" s="21" t="s">
        <v>27</v>
      </c>
      <c r="P78" s="20">
        <v>72657</v>
      </c>
      <c r="Q78" s="22">
        <v>46135</v>
      </c>
      <c r="R78" s="14" t="s">
        <v>33</v>
      </c>
      <c r="S78" s="23"/>
      <c r="T78" s="14" t="s">
        <v>34</v>
      </c>
      <c r="U78" s="23"/>
      <c r="V78" s="25">
        <v>103</v>
      </c>
    </row>
    <row r="79" spans="1:22" ht="26.25" thickBot="1">
      <c r="A79" s="14">
        <v>78</v>
      </c>
      <c r="B79" s="15" t="s">
        <v>236</v>
      </c>
      <c r="C79" s="16" t="s">
        <v>23</v>
      </c>
      <c r="D79" s="17">
        <v>46112</v>
      </c>
      <c r="E79" s="14" t="s">
        <v>240</v>
      </c>
      <c r="F79" s="14" t="s">
        <v>241</v>
      </c>
      <c r="G79" s="17">
        <v>46105</v>
      </c>
      <c r="H79" s="14" t="s">
        <v>242</v>
      </c>
      <c r="I79" s="14">
        <v>54</v>
      </c>
      <c r="J79" s="18">
        <v>124601</v>
      </c>
      <c r="K79" s="14" t="s">
        <v>27</v>
      </c>
      <c r="L79" s="14" t="s">
        <v>27</v>
      </c>
      <c r="M79" s="19">
        <v>6230.05</v>
      </c>
      <c r="N79" s="20">
        <v>130831.05</v>
      </c>
      <c r="O79" s="21" t="s">
        <v>27</v>
      </c>
      <c r="P79" s="20">
        <v>130831</v>
      </c>
      <c r="Q79" s="22">
        <v>46135</v>
      </c>
      <c r="R79" s="14" t="s">
        <v>33</v>
      </c>
      <c r="S79" s="23"/>
      <c r="T79" s="14" t="s">
        <v>34</v>
      </c>
      <c r="U79" s="23"/>
      <c r="V79" s="25">
        <v>103</v>
      </c>
    </row>
    <row r="80" spans="1:22" ht="26.25" thickBot="1">
      <c r="A80" s="2">
        <v>79</v>
      </c>
      <c r="B80" s="15" t="s">
        <v>236</v>
      </c>
      <c r="C80" s="16" t="s">
        <v>23</v>
      </c>
      <c r="D80" s="17">
        <v>46112</v>
      </c>
      <c r="E80" s="14" t="s">
        <v>243</v>
      </c>
      <c r="F80" s="14" t="s">
        <v>244</v>
      </c>
      <c r="G80" s="17">
        <v>46105</v>
      </c>
      <c r="H80" s="14" t="s">
        <v>245</v>
      </c>
      <c r="I80" s="14">
        <v>71</v>
      </c>
      <c r="J80" s="18">
        <v>93724</v>
      </c>
      <c r="K80" s="14" t="s">
        <v>27</v>
      </c>
      <c r="L80" s="14" t="s">
        <v>27</v>
      </c>
      <c r="M80" s="19">
        <v>4686.2</v>
      </c>
      <c r="N80" s="20">
        <v>98410.2</v>
      </c>
      <c r="O80" s="21" t="s">
        <v>27</v>
      </c>
      <c r="P80" s="20">
        <v>98410</v>
      </c>
      <c r="Q80" s="22">
        <v>46135</v>
      </c>
      <c r="R80" s="14" t="s">
        <v>33</v>
      </c>
      <c r="S80" s="23"/>
      <c r="T80" s="14" t="s">
        <v>34</v>
      </c>
      <c r="U80" s="23"/>
      <c r="V80" s="25">
        <v>103</v>
      </c>
    </row>
    <row r="81" spans="1:22" ht="26.25" thickBot="1">
      <c r="A81" s="14">
        <v>80</v>
      </c>
      <c r="B81" s="15" t="s">
        <v>236</v>
      </c>
      <c r="C81" s="16" t="s">
        <v>23</v>
      </c>
      <c r="D81" s="17">
        <v>46112</v>
      </c>
      <c r="E81" s="14" t="s">
        <v>246</v>
      </c>
      <c r="F81" s="14" t="s">
        <v>247</v>
      </c>
      <c r="G81" s="17">
        <v>46105</v>
      </c>
      <c r="H81" s="14" t="s">
        <v>248</v>
      </c>
      <c r="I81" s="14">
        <v>57</v>
      </c>
      <c r="J81" s="18">
        <v>67525</v>
      </c>
      <c r="K81" s="14" t="s">
        <v>27</v>
      </c>
      <c r="L81" s="14" t="s">
        <v>27</v>
      </c>
      <c r="M81" s="19">
        <v>3376.25</v>
      </c>
      <c r="N81" s="20">
        <v>70901.25</v>
      </c>
      <c r="O81" s="21" t="s">
        <v>27</v>
      </c>
      <c r="P81" s="20">
        <v>70901</v>
      </c>
      <c r="Q81" s="22">
        <v>46135</v>
      </c>
      <c r="R81" s="14" t="s">
        <v>33</v>
      </c>
      <c r="S81" s="23"/>
      <c r="T81" s="14" t="s">
        <v>34</v>
      </c>
      <c r="U81" s="23"/>
      <c r="V81" s="25">
        <v>103</v>
      </c>
    </row>
    <row r="82" spans="1:22" ht="26.25" thickBot="1">
      <c r="A82" s="2">
        <v>81</v>
      </c>
      <c r="B82" s="15" t="s">
        <v>236</v>
      </c>
      <c r="C82" s="16" t="s">
        <v>23</v>
      </c>
      <c r="D82" s="17">
        <v>46112</v>
      </c>
      <c r="E82" s="14" t="s">
        <v>249</v>
      </c>
      <c r="F82" s="14" t="s">
        <v>250</v>
      </c>
      <c r="G82" s="17">
        <v>46105</v>
      </c>
      <c r="H82" s="14" t="s">
        <v>251</v>
      </c>
      <c r="I82" s="14">
        <v>66</v>
      </c>
      <c r="J82" s="18">
        <v>93690</v>
      </c>
      <c r="K82" s="14" t="s">
        <v>27</v>
      </c>
      <c r="L82" s="14" t="s">
        <v>27</v>
      </c>
      <c r="M82" s="19">
        <v>4684.5</v>
      </c>
      <c r="N82" s="20">
        <v>98374.5</v>
      </c>
      <c r="O82" s="21" t="s">
        <v>27</v>
      </c>
      <c r="P82" s="20">
        <v>98375</v>
      </c>
      <c r="Q82" s="22">
        <v>46135</v>
      </c>
      <c r="R82" s="14" t="s">
        <v>33</v>
      </c>
      <c r="S82" s="23"/>
      <c r="T82" s="14" t="s">
        <v>34</v>
      </c>
      <c r="U82" s="23"/>
      <c r="V82" s="25">
        <v>103</v>
      </c>
    </row>
    <row r="83" spans="1:22" ht="26.25" thickBot="1">
      <c r="A83" s="14">
        <v>82</v>
      </c>
      <c r="B83" s="15" t="s">
        <v>236</v>
      </c>
      <c r="C83" s="16" t="s">
        <v>23</v>
      </c>
      <c r="D83" s="17">
        <v>46112</v>
      </c>
      <c r="E83" s="14" t="s">
        <v>252</v>
      </c>
      <c r="F83" s="14" t="s">
        <v>253</v>
      </c>
      <c r="G83" s="17">
        <v>46105</v>
      </c>
      <c r="H83" s="14" t="s">
        <v>254</v>
      </c>
      <c r="I83" s="14">
        <v>49</v>
      </c>
      <c r="J83" s="18">
        <v>121430</v>
      </c>
      <c r="K83" s="14" t="s">
        <v>27</v>
      </c>
      <c r="L83" s="14" t="s">
        <v>27</v>
      </c>
      <c r="M83" s="19">
        <v>6071.5</v>
      </c>
      <c r="N83" s="20">
        <v>127501.5</v>
      </c>
      <c r="O83" s="21" t="s">
        <v>27</v>
      </c>
      <c r="P83" s="20">
        <v>127502</v>
      </c>
      <c r="Q83" s="22">
        <v>46135</v>
      </c>
      <c r="R83" s="14" t="s">
        <v>33</v>
      </c>
      <c r="S83" s="23"/>
      <c r="T83" s="14" t="s">
        <v>34</v>
      </c>
      <c r="U83" s="23"/>
      <c r="V83" s="25">
        <v>103</v>
      </c>
    </row>
    <row r="84" spans="1:22" ht="26.25" thickBot="1">
      <c r="A84" s="2">
        <v>83</v>
      </c>
      <c r="B84" s="15" t="s">
        <v>236</v>
      </c>
      <c r="C84" s="16" t="s">
        <v>23</v>
      </c>
      <c r="D84" s="17">
        <v>46112</v>
      </c>
      <c r="E84" s="14" t="s">
        <v>255</v>
      </c>
      <c r="F84" s="14" t="s">
        <v>256</v>
      </c>
      <c r="G84" s="17">
        <v>46105</v>
      </c>
      <c r="H84" s="14" t="s">
        <v>257</v>
      </c>
      <c r="I84" s="14">
        <v>50</v>
      </c>
      <c r="J84" s="18">
        <v>117285</v>
      </c>
      <c r="K84" s="14" t="s">
        <v>27</v>
      </c>
      <c r="L84" s="14" t="s">
        <v>27</v>
      </c>
      <c r="M84" s="19">
        <v>5864.25</v>
      </c>
      <c r="N84" s="20">
        <v>123149.25</v>
      </c>
      <c r="O84" s="21" t="s">
        <v>27</v>
      </c>
      <c r="P84" s="20">
        <v>123149</v>
      </c>
      <c r="Q84" s="22">
        <v>46135</v>
      </c>
      <c r="R84" s="14" t="s">
        <v>33</v>
      </c>
      <c r="S84" s="23"/>
      <c r="T84" s="14" t="s">
        <v>34</v>
      </c>
      <c r="U84" s="23"/>
      <c r="V84" s="25">
        <v>103</v>
      </c>
    </row>
    <row r="85" spans="1:22" ht="26.25" thickBot="1">
      <c r="A85" s="14">
        <v>84</v>
      </c>
      <c r="B85" s="15" t="s">
        <v>236</v>
      </c>
      <c r="C85" s="16" t="s">
        <v>23</v>
      </c>
      <c r="D85" s="17">
        <v>46113</v>
      </c>
      <c r="E85" s="14" t="s">
        <v>258</v>
      </c>
      <c r="F85" s="14" t="s">
        <v>258</v>
      </c>
      <c r="G85" s="17">
        <v>46105</v>
      </c>
      <c r="H85" s="14" t="s">
        <v>259</v>
      </c>
      <c r="I85" s="14">
        <v>66</v>
      </c>
      <c r="J85" s="18">
        <v>75555</v>
      </c>
      <c r="K85" s="23"/>
      <c r="L85" s="23"/>
      <c r="M85" s="19">
        <v>3778</v>
      </c>
      <c r="N85" s="20">
        <v>79333</v>
      </c>
      <c r="O85" s="21" t="s">
        <v>27</v>
      </c>
      <c r="P85" s="20">
        <v>79333</v>
      </c>
      <c r="Q85" s="22">
        <v>46135</v>
      </c>
      <c r="R85" s="14" t="s">
        <v>33</v>
      </c>
      <c r="S85" s="23"/>
      <c r="T85" s="14" t="s">
        <v>34</v>
      </c>
      <c r="U85" s="23"/>
      <c r="V85" s="25">
        <v>103</v>
      </c>
    </row>
    <row r="86" spans="1:22" ht="26.25" thickBot="1">
      <c r="A86" s="2">
        <v>85</v>
      </c>
      <c r="B86" s="15" t="s">
        <v>236</v>
      </c>
      <c r="C86" s="16" t="s">
        <v>23</v>
      </c>
      <c r="D86" s="14" t="s">
        <v>260</v>
      </c>
      <c r="E86" s="14" t="s">
        <v>261</v>
      </c>
      <c r="F86" s="14" t="s">
        <v>261</v>
      </c>
      <c r="G86" s="17">
        <v>46106</v>
      </c>
      <c r="H86" s="14" t="s">
        <v>262</v>
      </c>
      <c r="I86" s="14">
        <v>22</v>
      </c>
      <c r="J86" s="18">
        <v>32786</v>
      </c>
      <c r="K86" s="23"/>
      <c r="L86" s="23"/>
      <c r="M86" s="19">
        <v>1566</v>
      </c>
      <c r="N86" s="20">
        <v>34352</v>
      </c>
      <c r="O86" s="21" t="s">
        <v>27</v>
      </c>
      <c r="P86" s="20">
        <v>34352</v>
      </c>
      <c r="Q86" s="22">
        <v>46136</v>
      </c>
      <c r="R86" s="14" t="s">
        <v>33</v>
      </c>
      <c r="S86" s="23"/>
      <c r="T86" s="14" t="s">
        <v>34</v>
      </c>
      <c r="U86" s="23"/>
      <c r="V86" s="25">
        <v>102</v>
      </c>
    </row>
    <row r="87" spans="1:22" ht="26.25" thickBot="1">
      <c r="A87" s="14">
        <v>86</v>
      </c>
      <c r="B87" s="15" t="s">
        <v>263</v>
      </c>
      <c r="C87" s="16" t="s">
        <v>23</v>
      </c>
      <c r="D87" s="17">
        <v>45884</v>
      </c>
      <c r="E87" s="14" t="s">
        <v>264</v>
      </c>
      <c r="F87" s="14" t="s">
        <v>265</v>
      </c>
      <c r="G87" s="17">
        <v>45871</v>
      </c>
      <c r="H87" s="14">
        <v>745</v>
      </c>
      <c r="I87" s="14">
        <v>21</v>
      </c>
      <c r="J87" s="18">
        <v>66675</v>
      </c>
      <c r="K87" s="14" t="s">
        <v>27</v>
      </c>
      <c r="L87" s="14" t="s">
        <v>27</v>
      </c>
      <c r="M87" s="19">
        <v>3333.75</v>
      </c>
      <c r="N87" s="20">
        <v>70008.75</v>
      </c>
      <c r="O87" s="21" t="s">
        <v>27</v>
      </c>
      <c r="P87" s="20">
        <v>70009</v>
      </c>
      <c r="Q87" s="22">
        <v>45901</v>
      </c>
      <c r="R87" s="14" t="s">
        <v>33</v>
      </c>
      <c r="S87" s="23"/>
      <c r="T87" s="14" t="s">
        <v>34</v>
      </c>
      <c r="U87" s="23"/>
      <c r="V87" s="25">
        <v>337</v>
      </c>
    </row>
    <row r="88" spans="1:22" ht="26.25" thickBot="1">
      <c r="A88" s="2">
        <v>87</v>
      </c>
      <c r="B88" s="15" t="s">
        <v>263</v>
      </c>
      <c r="C88" s="16" t="s">
        <v>23</v>
      </c>
      <c r="D88" s="17">
        <v>45943</v>
      </c>
      <c r="E88" s="14" t="s">
        <v>266</v>
      </c>
      <c r="F88" s="14" t="s">
        <v>267</v>
      </c>
      <c r="G88" s="17">
        <v>45930</v>
      </c>
      <c r="H88" s="14">
        <v>1418</v>
      </c>
      <c r="I88" s="14">
        <v>44</v>
      </c>
      <c r="J88" s="18">
        <v>126000</v>
      </c>
      <c r="K88" s="14" t="s">
        <v>27</v>
      </c>
      <c r="L88" s="14" t="s">
        <v>27</v>
      </c>
      <c r="M88" s="19">
        <v>6300</v>
      </c>
      <c r="N88" s="20">
        <v>132300</v>
      </c>
      <c r="O88" s="21" t="s">
        <v>27</v>
      </c>
      <c r="P88" s="20">
        <v>132300</v>
      </c>
      <c r="Q88" s="22">
        <v>45960</v>
      </c>
      <c r="R88" s="14" t="s">
        <v>33</v>
      </c>
      <c r="S88" s="23"/>
      <c r="T88" s="14" t="s">
        <v>34</v>
      </c>
      <c r="U88" s="23"/>
      <c r="V88" s="25">
        <v>278</v>
      </c>
    </row>
    <row r="89" spans="1:22" ht="26.25" thickBot="1">
      <c r="A89" s="14">
        <v>88</v>
      </c>
      <c r="B89" s="15" t="s">
        <v>268</v>
      </c>
      <c r="C89" s="16" t="s">
        <v>23</v>
      </c>
      <c r="D89" s="17">
        <v>46051</v>
      </c>
      <c r="E89" s="14" t="s">
        <v>269</v>
      </c>
      <c r="F89" s="14" t="s">
        <v>270</v>
      </c>
      <c r="G89" s="17">
        <v>46038</v>
      </c>
      <c r="H89" s="14" t="s">
        <v>271</v>
      </c>
      <c r="I89" s="14">
        <v>173</v>
      </c>
      <c r="J89" s="18">
        <v>257535</v>
      </c>
      <c r="K89" s="14" t="s">
        <v>27</v>
      </c>
      <c r="L89" s="14" t="s">
        <v>27</v>
      </c>
      <c r="M89" s="19">
        <v>12876.75</v>
      </c>
      <c r="N89" s="20">
        <v>270411.75</v>
      </c>
      <c r="O89" s="21" t="s">
        <v>27</v>
      </c>
      <c r="P89" s="20">
        <v>270412</v>
      </c>
      <c r="Q89" s="22">
        <v>46068</v>
      </c>
      <c r="R89" s="14" t="s">
        <v>28</v>
      </c>
      <c r="S89" s="23"/>
      <c r="T89" s="14" t="s">
        <v>34</v>
      </c>
      <c r="U89" s="23"/>
      <c r="V89" s="25">
        <f t="shared" ref="V89:V99" ca="1" si="6">TODAY()-G89</f>
        <v>170</v>
      </c>
    </row>
    <row r="90" spans="1:22" ht="26.25" thickBot="1">
      <c r="A90" s="2">
        <v>89</v>
      </c>
      <c r="B90" s="15" t="s">
        <v>272</v>
      </c>
      <c r="C90" s="16" t="s">
        <v>23</v>
      </c>
      <c r="D90" s="17">
        <v>46052</v>
      </c>
      <c r="E90" s="14" t="s">
        <v>273</v>
      </c>
      <c r="F90" s="14" t="s">
        <v>274</v>
      </c>
      <c r="G90" s="17">
        <v>46044</v>
      </c>
      <c r="H90" s="14">
        <v>2593</v>
      </c>
      <c r="I90" s="14">
        <v>150</v>
      </c>
      <c r="J90" s="18">
        <v>147870</v>
      </c>
      <c r="K90" s="14" t="s">
        <v>27</v>
      </c>
      <c r="L90" s="14" t="s">
        <v>27</v>
      </c>
      <c r="M90" s="19">
        <v>7393.5</v>
      </c>
      <c r="N90" s="20">
        <v>155263.5</v>
      </c>
      <c r="O90" s="21" t="s">
        <v>27</v>
      </c>
      <c r="P90" s="20">
        <v>155264</v>
      </c>
      <c r="Q90" s="22">
        <v>46074</v>
      </c>
      <c r="R90" s="14" t="s">
        <v>210</v>
      </c>
      <c r="S90" s="23"/>
      <c r="T90" s="14" t="s">
        <v>34</v>
      </c>
      <c r="U90" s="23"/>
      <c r="V90" s="25">
        <f t="shared" ca="1" si="6"/>
        <v>164</v>
      </c>
    </row>
    <row r="91" spans="1:22" ht="26.25" thickBot="1">
      <c r="A91" s="14">
        <v>90</v>
      </c>
      <c r="B91" s="15" t="s">
        <v>272</v>
      </c>
      <c r="C91" s="16" t="s">
        <v>23</v>
      </c>
      <c r="D91" s="17">
        <v>46053</v>
      </c>
      <c r="E91" s="14" t="s">
        <v>275</v>
      </c>
      <c r="F91" s="14" t="s">
        <v>276</v>
      </c>
      <c r="G91" s="17">
        <v>46044</v>
      </c>
      <c r="H91" s="14">
        <v>2595</v>
      </c>
      <c r="I91" s="14">
        <v>120</v>
      </c>
      <c r="J91" s="18">
        <v>148620</v>
      </c>
      <c r="K91" s="14" t="s">
        <v>27</v>
      </c>
      <c r="L91" s="14" t="s">
        <v>27</v>
      </c>
      <c r="M91" s="19">
        <v>7431</v>
      </c>
      <c r="N91" s="20">
        <v>156051</v>
      </c>
      <c r="O91" s="21" t="s">
        <v>27</v>
      </c>
      <c r="P91" s="20">
        <v>156051</v>
      </c>
      <c r="Q91" s="22">
        <v>46074</v>
      </c>
      <c r="R91" s="14" t="s">
        <v>33</v>
      </c>
      <c r="S91" s="23"/>
      <c r="T91" s="14" t="s">
        <v>34</v>
      </c>
      <c r="U91" s="23"/>
      <c r="V91" s="25">
        <f t="shared" ca="1" si="6"/>
        <v>164</v>
      </c>
    </row>
    <row r="92" spans="1:22" ht="26.25" thickBot="1">
      <c r="A92" s="2">
        <v>91</v>
      </c>
      <c r="B92" s="15" t="s">
        <v>272</v>
      </c>
      <c r="C92" s="16" t="s">
        <v>23</v>
      </c>
      <c r="D92" s="17">
        <v>46053</v>
      </c>
      <c r="E92" s="14" t="s">
        <v>277</v>
      </c>
      <c r="F92" s="14" t="s">
        <v>278</v>
      </c>
      <c r="G92" s="17">
        <v>46044</v>
      </c>
      <c r="H92" s="14">
        <v>2596</v>
      </c>
      <c r="I92" s="14">
        <v>117</v>
      </c>
      <c r="J92" s="18">
        <v>140955</v>
      </c>
      <c r="K92" s="14" t="s">
        <v>27</v>
      </c>
      <c r="L92" s="14" t="s">
        <v>27</v>
      </c>
      <c r="M92" s="19">
        <v>7047.75</v>
      </c>
      <c r="N92" s="20">
        <v>148002.75</v>
      </c>
      <c r="O92" s="21" t="s">
        <v>27</v>
      </c>
      <c r="P92" s="20">
        <v>148003</v>
      </c>
      <c r="Q92" s="22">
        <v>46074</v>
      </c>
      <c r="R92" s="14" t="s">
        <v>33</v>
      </c>
      <c r="S92" s="23"/>
      <c r="T92" s="14" t="s">
        <v>34</v>
      </c>
      <c r="U92" s="23"/>
      <c r="V92" s="25">
        <f t="shared" ca="1" si="6"/>
        <v>164</v>
      </c>
    </row>
    <row r="93" spans="1:22" ht="26.25" thickBot="1">
      <c r="A93" s="14">
        <v>92</v>
      </c>
      <c r="B93" s="15" t="s">
        <v>272</v>
      </c>
      <c r="C93" s="16" t="s">
        <v>23</v>
      </c>
      <c r="D93" s="17">
        <v>46054</v>
      </c>
      <c r="E93" s="14" t="s">
        <v>279</v>
      </c>
      <c r="F93" s="14" t="s">
        <v>280</v>
      </c>
      <c r="G93" s="17">
        <v>46044</v>
      </c>
      <c r="H93" s="14">
        <v>2597</v>
      </c>
      <c r="I93" s="14">
        <v>126</v>
      </c>
      <c r="J93" s="18">
        <v>108030</v>
      </c>
      <c r="K93" s="14" t="s">
        <v>27</v>
      </c>
      <c r="L93" s="14" t="s">
        <v>27</v>
      </c>
      <c r="M93" s="19">
        <v>5401.5</v>
      </c>
      <c r="N93" s="20">
        <v>113431.5</v>
      </c>
      <c r="O93" s="21" t="s">
        <v>27</v>
      </c>
      <c r="P93" s="20">
        <v>113432</v>
      </c>
      <c r="Q93" s="22">
        <v>46074</v>
      </c>
      <c r="R93" s="14" t="s">
        <v>33</v>
      </c>
      <c r="S93" s="23"/>
      <c r="T93" s="14" t="s">
        <v>34</v>
      </c>
      <c r="U93" s="23"/>
      <c r="V93" s="25">
        <f t="shared" ca="1" si="6"/>
        <v>164</v>
      </c>
    </row>
    <row r="94" spans="1:22" ht="26.25" thickBot="1">
      <c r="A94" s="2">
        <v>93</v>
      </c>
      <c r="B94" s="15" t="s">
        <v>272</v>
      </c>
      <c r="C94" s="16" t="s">
        <v>23</v>
      </c>
      <c r="D94" s="17">
        <v>46055</v>
      </c>
      <c r="E94" s="14" t="s">
        <v>281</v>
      </c>
      <c r="F94" s="14" t="s">
        <v>282</v>
      </c>
      <c r="G94" s="17">
        <v>46044</v>
      </c>
      <c r="H94" s="14">
        <v>2598</v>
      </c>
      <c r="I94" s="14">
        <v>119</v>
      </c>
      <c r="J94" s="18">
        <v>132095</v>
      </c>
      <c r="K94" s="14" t="s">
        <v>27</v>
      </c>
      <c r="L94" s="14" t="s">
        <v>27</v>
      </c>
      <c r="M94" s="19">
        <v>6604.75</v>
      </c>
      <c r="N94" s="20">
        <v>138699.75</v>
      </c>
      <c r="O94" s="21" t="s">
        <v>27</v>
      </c>
      <c r="P94" s="20">
        <v>138700</v>
      </c>
      <c r="Q94" s="22">
        <v>46074</v>
      </c>
      <c r="R94" s="14" t="s">
        <v>33</v>
      </c>
      <c r="S94" s="23"/>
      <c r="T94" s="14" t="s">
        <v>34</v>
      </c>
      <c r="U94" s="23"/>
      <c r="V94" s="25">
        <f t="shared" ca="1" si="6"/>
        <v>164</v>
      </c>
    </row>
    <row r="95" spans="1:22" ht="26.25" thickBot="1">
      <c r="A95" s="14">
        <v>94</v>
      </c>
      <c r="B95" s="15" t="s">
        <v>272</v>
      </c>
      <c r="C95" s="16" t="s">
        <v>23</v>
      </c>
      <c r="D95" s="17">
        <v>46056</v>
      </c>
      <c r="E95" s="14" t="s">
        <v>283</v>
      </c>
      <c r="F95" s="14" t="s">
        <v>284</v>
      </c>
      <c r="G95" s="17">
        <v>46044</v>
      </c>
      <c r="H95" s="14">
        <v>2604</v>
      </c>
      <c r="I95" s="14">
        <v>108</v>
      </c>
      <c r="J95" s="18">
        <v>109050</v>
      </c>
      <c r="K95" s="14" t="s">
        <v>27</v>
      </c>
      <c r="L95" s="14" t="s">
        <v>27</v>
      </c>
      <c r="M95" s="19">
        <v>5452.5</v>
      </c>
      <c r="N95" s="20">
        <v>114502.5</v>
      </c>
      <c r="O95" s="21" t="s">
        <v>27</v>
      </c>
      <c r="P95" s="20">
        <v>114503</v>
      </c>
      <c r="Q95" s="22">
        <v>46074</v>
      </c>
      <c r="R95" s="14" t="s">
        <v>33</v>
      </c>
      <c r="S95" s="23"/>
      <c r="T95" s="14" t="s">
        <v>34</v>
      </c>
      <c r="U95" s="23"/>
      <c r="V95" s="25">
        <f t="shared" ca="1" si="6"/>
        <v>164</v>
      </c>
    </row>
    <row r="96" spans="1:22" ht="26.25" thickBot="1">
      <c r="A96" s="2">
        <v>95</v>
      </c>
      <c r="B96" s="15" t="s">
        <v>285</v>
      </c>
      <c r="C96" s="16" t="s">
        <v>23</v>
      </c>
      <c r="D96" s="17">
        <v>45965</v>
      </c>
      <c r="E96" s="14" t="s">
        <v>286</v>
      </c>
      <c r="F96" s="14" t="s">
        <v>287</v>
      </c>
      <c r="G96" s="17">
        <v>45945</v>
      </c>
      <c r="H96" s="14" t="s">
        <v>288</v>
      </c>
      <c r="I96" s="14">
        <v>105</v>
      </c>
      <c r="J96" s="18">
        <v>62650</v>
      </c>
      <c r="K96" s="14" t="s">
        <v>27</v>
      </c>
      <c r="L96" s="14" t="s">
        <v>27</v>
      </c>
      <c r="M96" s="19">
        <v>3132.48</v>
      </c>
      <c r="N96" s="20">
        <v>65782.48</v>
      </c>
      <c r="O96" s="21" t="s">
        <v>27</v>
      </c>
      <c r="P96" s="20">
        <v>65782</v>
      </c>
      <c r="Q96" s="22">
        <v>45975</v>
      </c>
      <c r="R96" s="14" t="s">
        <v>33</v>
      </c>
      <c r="S96" s="23"/>
      <c r="T96" s="14" t="s">
        <v>34</v>
      </c>
      <c r="U96" s="23"/>
      <c r="V96" s="25">
        <f t="shared" ca="1" si="6"/>
        <v>263</v>
      </c>
    </row>
    <row r="97" spans="1:22" ht="26.25" thickBot="1">
      <c r="A97" s="14">
        <v>96</v>
      </c>
      <c r="B97" s="15" t="s">
        <v>289</v>
      </c>
      <c r="C97" s="16" t="s">
        <v>23</v>
      </c>
      <c r="D97" s="17">
        <v>46204</v>
      </c>
      <c r="E97" s="14" t="s">
        <v>290</v>
      </c>
      <c r="F97" s="14" t="s">
        <v>290</v>
      </c>
      <c r="G97" s="17">
        <v>46204</v>
      </c>
      <c r="H97" s="14" t="s">
        <v>291</v>
      </c>
      <c r="I97" s="14">
        <v>416</v>
      </c>
      <c r="J97" s="18">
        <v>110659</v>
      </c>
      <c r="K97" s="14">
        <v>1</v>
      </c>
      <c r="L97" s="23"/>
      <c r="M97" s="19">
        <v>5589.82</v>
      </c>
      <c r="N97" s="20">
        <v>116249.82</v>
      </c>
      <c r="O97" s="21" t="s">
        <v>27</v>
      </c>
      <c r="P97" s="20">
        <v>116250</v>
      </c>
      <c r="Q97" s="22">
        <v>46234</v>
      </c>
      <c r="R97" s="14" t="s">
        <v>33</v>
      </c>
      <c r="S97" s="23"/>
      <c r="T97" s="14" t="s">
        <v>34</v>
      </c>
      <c r="U97" s="23"/>
      <c r="V97" s="25">
        <f t="shared" ca="1" si="6"/>
        <v>4</v>
      </c>
    </row>
    <row r="98" spans="1:22" ht="26.25" thickBot="1">
      <c r="A98" s="2">
        <v>97</v>
      </c>
      <c r="B98" s="15" t="s">
        <v>289</v>
      </c>
      <c r="C98" s="16" t="s">
        <v>23</v>
      </c>
      <c r="D98" s="17">
        <v>46204</v>
      </c>
      <c r="E98" s="14" t="s">
        <v>292</v>
      </c>
      <c r="F98" s="14" t="s">
        <v>292</v>
      </c>
      <c r="G98" s="17">
        <v>46204</v>
      </c>
      <c r="H98" s="14" t="s">
        <v>293</v>
      </c>
      <c r="I98" s="14">
        <v>105</v>
      </c>
      <c r="J98" s="18">
        <v>27672</v>
      </c>
      <c r="K98" s="14">
        <v>1</v>
      </c>
      <c r="L98" s="23"/>
      <c r="M98" s="19">
        <v>2777.26</v>
      </c>
      <c r="N98" s="20">
        <v>30450.26</v>
      </c>
      <c r="O98" s="21" t="s">
        <v>27</v>
      </c>
      <c r="P98" s="20">
        <v>30450</v>
      </c>
      <c r="Q98" s="22">
        <v>46234</v>
      </c>
      <c r="R98" s="14" t="s">
        <v>33</v>
      </c>
      <c r="S98" s="23"/>
      <c r="T98" s="14" t="s">
        <v>34</v>
      </c>
      <c r="U98" s="23"/>
      <c r="V98" s="25">
        <f t="shared" ca="1" si="6"/>
        <v>4</v>
      </c>
    </row>
    <row r="99" spans="1:22" ht="26.25" thickBot="1">
      <c r="A99" s="14">
        <v>98</v>
      </c>
      <c r="B99" s="15" t="s">
        <v>289</v>
      </c>
      <c r="C99" s="16" t="s">
        <v>23</v>
      </c>
      <c r="D99" s="17">
        <v>46204</v>
      </c>
      <c r="E99" s="14" t="s">
        <v>294</v>
      </c>
      <c r="F99" s="14" t="s">
        <v>294</v>
      </c>
      <c r="G99" s="17">
        <v>46203</v>
      </c>
      <c r="H99" s="14" t="s">
        <v>295</v>
      </c>
      <c r="I99" s="14">
        <v>298</v>
      </c>
      <c r="J99" s="18">
        <v>61714</v>
      </c>
      <c r="K99" s="14">
        <v>66</v>
      </c>
      <c r="L99" s="23"/>
      <c r="M99" s="19">
        <v>3089</v>
      </c>
      <c r="N99" s="20">
        <v>64869</v>
      </c>
      <c r="O99" s="21" t="s">
        <v>27</v>
      </c>
      <c r="P99" s="20">
        <v>64869</v>
      </c>
      <c r="Q99" s="22">
        <v>46233</v>
      </c>
      <c r="R99" s="14" t="s">
        <v>33</v>
      </c>
      <c r="S99" s="23"/>
      <c r="T99" s="14" t="s">
        <v>34</v>
      </c>
      <c r="U99" s="23"/>
      <c r="V99" s="25">
        <f t="shared" ca="1" si="6"/>
        <v>5</v>
      </c>
    </row>
    <row r="100" spans="1:22" ht="26.25" thickBot="1">
      <c r="A100" s="2">
        <v>99</v>
      </c>
      <c r="B100" s="15" t="s">
        <v>296</v>
      </c>
      <c r="C100" s="16" t="s">
        <v>23</v>
      </c>
      <c r="D100" s="17">
        <v>45875</v>
      </c>
      <c r="E100" s="14" t="s">
        <v>297</v>
      </c>
      <c r="F100" s="14" t="s">
        <v>298</v>
      </c>
      <c r="G100" s="17">
        <v>45862</v>
      </c>
      <c r="H100" s="14" t="s">
        <v>299</v>
      </c>
      <c r="I100" s="14">
        <v>35</v>
      </c>
      <c r="J100" s="18">
        <v>66475</v>
      </c>
      <c r="K100" s="14" t="s">
        <v>27</v>
      </c>
      <c r="L100" s="14" t="s">
        <v>27</v>
      </c>
      <c r="M100" s="19">
        <v>3323.75</v>
      </c>
      <c r="N100" s="20">
        <v>69798.75</v>
      </c>
      <c r="O100" s="21" t="s">
        <v>27</v>
      </c>
      <c r="P100" s="20">
        <v>69799</v>
      </c>
      <c r="Q100" s="22">
        <v>45892</v>
      </c>
      <c r="R100" s="14" t="s">
        <v>33</v>
      </c>
      <c r="S100" s="23"/>
      <c r="T100" s="14" t="s">
        <v>34</v>
      </c>
      <c r="U100" s="23"/>
      <c r="V100" s="25">
        <v>346</v>
      </c>
    </row>
    <row r="101" spans="1:22" ht="26.25" thickBot="1">
      <c r="A101" s="14">
        <v>100</v>
      </c>
      <c r="B101" s="15" t="s">
        <v>296</v>
      </c>
      <c r="C101" s="16" t="s">
        <v>23</v>
      </c>
      <c r="D101" s="17">
        <v>45896</v>
      </c>
      <c r="E101" s="14" t="s">
        <v>300</v>
      </c>
      <c r="F101" s="14" t="s">
        <v>301</v>
      </c>
      <c r="G101" s="17">
        <v>45883</v>
      </c>
      <c r="H101" s="14" t="s">
        <v>302</v>
      </c>
      <c r="I101" s="14">
        <v>17</v>
      </c>
      <c r="J101" s="18">
        <v>29950</v>
      </c>
      <c r="K101" s="14" t="s">
        <v>27</v>
      </c>
      <c r="L101" s="14" t="s">
        <v>27</v>
      </c>
      <c r="M101" s="19">
        <v>1497.5</v>
      </c>
      <c r="N101" s="20">
        <v>31447.5</v>
      </c>
      <c r="O101" s="21" t="s">
        <v>27</v>
      </c>
      <c r="P101" s="20">
        <v>31448</v>
      </c>
      <c r="Q101" s="22">
        <v>45913</v>
      </c>
      <c r="R101" s="14" t="s">
        <v>33</v>
      </c>
      <c r="S101" s="23"/>
      <c r="T101" s="14" t="s">
        <v>34</v>
      </c>
      <c r="U101" s="23"/>
      <c r="V101" s="25">
        <v>325</v>
      </c>
    </row>
    <row r="102" spans="1:22" ht="26.25" thickBot="1">
      <c r="A102" s="2">
        <v>101</v>
      </c>
      <c r="B102" s="15" t="s">
        <v>303</v>
      </c>
      <c r="C102" s="16" t="s">
        <v>23</v>
      </c>
      <c r="D102" s="17">
        <v>46056</v>
      </c>
      <c r="E102" s="14" t="s">
        <v>304</v>
      </c>
      <c r="F102" s="14" t="s">
        <v>305</v>
      </c>
      <c r="G102" s="17">
        <v>46041</v>
      </c>
      <c r="H102" s="14">
        <v>4098</v>
      </c>
      <c r="I102" s="14">
        <v>97</v>
      </c>
      <c r="J102" s="18">
        <v>80175</v>
      </c>
      <c r="K102" s="14" t="s">
        <v>27</v>
      </c>
      <c r="L102" s="14" t="s">
        <v>27</v>
      </c>
      <c r="M102" s="19">
        <v>4008.75</v>
      </c>
      <c r="N102" s="20">
        <v>84183.75</v>
      </c>
      <c r="O102" s="21" t="s">
        <v>27</v>
      </c>
      <c r="P102" s="20">
        <v>84184</v>
      </c>
      <c r="Q102" s="22">
        <v>46071</v>
      </c>
      <c r="R102" s="14" t="s">
        <v>33</v>
      </c>
      <c r="S102" s="23"/>
      <c r="T102" s="14" t="s">
        <v>34</v>
      </c>
      <c r="U102" s="23"/>
      <c r="V102" s="25">
        <f t="shared" ref="V102:V103" ca="1" si="7">TODAY()-G102</f>
        <v>167</v>
      </c>
    </row>
    <row r="103" spans="1:22" ht="26.25" thickBot="1">
      <c r="A103" s="14">
        <v>102</v>
      </c>
      <c r="B103" s="15" t="s">
        <v>303</v>
      </c>
      <c r="C103" s="16" t="s">
        <v>23</v>
      </c>
      <c r="D103" s="17">
        <v>46064</v>
      </c>
      <c r="E103" s="14" t="s">
        <v>306</v>
      </c>
      <c r="F103" s="14" t="s">
        <v>307</v>
      </c>
      <c r="G103" s="17">
        <v>46044</v>
      </c>
      <c r="H103" s="14">
        <v>4164</v>
      </c>
      <c r="I103" s="14">
        <v>76</v>
      </c>
      <c r="J103" s="18">
        <v>56360</v>
      </c>
      <c r="K103" s="14" t="s">
        <v>27</v>
      </c>
      <c r="L103" s="14" t="s">
        <v>27</v>
      </c>
      <c r="M103" s="19">
        <v>2818</v>
      </c>
      <c r="N103" s="20">
        <v>59178</v>
      </c>
      <c r="O103" s="21" t="s">
        <v>27</v>
      </c>
      <c r="P103" s="20">
        <v>59178</v>
      </c>
      <c r="Q103" s="22">
        <v>46074</v>
      </c>
      <c r="R103" s="14" t="s">
        <v>33</v>
      </c>
      <c r="S103" s="23"/>
      <c r="T103" s="14" t="s">
        <v>34</v>
      </c>
      <c r="U103" s="23"/>
      <c r="V103" s="25">
        <f t="shared" ca="1" si="7"/>
        <v>164</v>
      </c>
    </row>
    <row r="104" spans="1:22" ht="39" thickBot="1">
      <c r="A104" s="2">
        <v>103</v>
      </c>
      <c r="B104" s="15" t="s">
        <v>308</v>
      </c>
      <c r="C104" s="16" t="s">
        <v>23</v>
      </c>
      <c r="D104" s="17">
        <v>45548</v>
      </c>
      <c r="E104" s="14" t="s">
        <v>309</v>
      </c>
      <c r="F104" s="14" t="s">
        <v>310</v>
      </c>
      <c r="G104" s="17">
        <v>45548</v>
      </c>
      <c r="H104" s="14" t="s">
        <v>311</v>
      </c>
      <c r="I104" s="14">
        <v>55</v>
      </c>
      <c r="J104" s="18">
        <v>142230</v>
      </c>
      <c r="K104" s="14" t="s">
        <v>27</v>
      </c>
      <c r="L104" s="14" t="s">
        <v>27</v>
      </c>
      <c r="M104" s="19">
        <v>7111.5</v>
      </c>
      <c r="N104" s="20">
        <v>149341.5</v>
      </c>
      <c r="O104" s="21" t="s">
        <v>27</v>
      </c>
      <c r="P104" s="20">
        <v>149342</v>
      </c>
      <c r="Q104" s="17">
        <v>45578</v>
      </c>
      <c r="R104" s="14" t="s">
        <v>28</v>
      </c>
      <c r="S104" s="22">
        <v>45592</v>
      </c>
      <c r="T104" s="14" t="s">
        <v>312</v>
      </c>
      <c r="U104" s="23"/>
      <c r="V104" s="25">
        <f ca="1">TODAY()-G104</f>
        <v>660</v>
      </c>
    </row>
    <row r="105" spans="1:22" ht="26.25" thickBot="1">
      <c r="A105" s="14">
        <v>104</v>
      </c>
      <c r="B105" s="15" t="s">
        <v>313</v>
      </c>
      <c r="C105" s="16" t="s">
        <v>23</v>
      </c>
      <c r="D105" s="17">
        <v>45561</v>
      </c>
      <c r="E105" s="14" t="s">
        <v>314</v>
      </c>
      <c r="F105" s="14" t="s">
        <v>315</v>
      </c>
      <c r="G105" s="17">
        <v>45538</v>
      </c>
      <c r="H105" s="14">
        <v>826</v>
      </c>
      <c r="I105" s="14">
        <v>23</v>
      </c>
      <c r="J105" s="18">
        <v>44135</v>
      </c>
      <c r="K105" s="14" t="s">
        <v>27</v>
      </c>
      <c r="L105" s="14" t="s">
        <v>27</v>
      </c>
      <c r="M105" s="19">
        <v>5296.2</v>
      </c>
      <c r="N105" s="20">
        <v>49431.199999999997</v>
      </c>
      <c r="O105" s="21" t="s">
        <v>27</v>
      </c>
      <c r="P105" s="20">
        <v>49431</v>
      </c>
      <c r="Q105" s="17">
        <v>45568</v>
      </c>
      <c r="R105" s="14" t="s">
        <v>28</v>
      </c>
      <c r="S105" s="22">
        <v>45644</v>
      </c>
      <c r="T105" s="14" t="s">
        <v>316</v>
      </c>
      <c r="U105" s="23"/>
      <c r="V105" s="25">
        <f t="shared" ref="V105:V114" ca="1" si="8">TODAY()-G105</f>
        <v>670</v>
      </c>
    </row>
    <row r="106" spans="1:22" ht="26.25" thickBot="1">
      <c r="A106" s="2">
        <v>105</v>
      </c>
      <c r="B106" s="15" t="s">
        <v>317</v>
      </c>
      <c r="C106" s="16" t="s">
        <v>23</v>
      </c>
      <c r="D106" s="17">
        <v>46071</v>
      </c>
      <c r="E106" s="14" t="s">
        <v>318</v>
      </c>
      <c r="F106" s="14" t="s">
        <v>319</v>
      </c>
      <c r="G106" s="17">
        <v>46035</v>
      </c>
      <c r="H106" s="14">
        <v>1303</v>
      </c>
      <c r="I106" s="14">
        <v>7</v>
      </c>
      <c r="J106" s="18">
        <v>24350</v>
      </c>
      <c r="K106" s="14" t="s">
        <v>27</v>
      </c>
      <c r="L106" s="14" t="s">
        <v>27</v>
      </c>
      <c r="M106" s="19">
        <v>1217.5</v>
      </c>
      <c r="N106" s="20">
        <v>25567.5</v>
      </c>
      <c r="O106" s="21" t="s">
        <v>27</v>
      </c>
      <c r="P106" s="20">
        <v>25568</v>
      </c>
      <c r="Q106" s="22">
        <v>46065</v>
      </c>
      <c r="R106" s="14" t="s">
        <v>33</v>
      </c>
      <c r="S106" s="23"/>
      <c r="T106" s="14" t="s">
        <v>34</v>
      </c>
      <c r="U106" s="23"/>
      <c r="V106" s="25">
        <f t="shared" ca="1" si="8"/>
        <v>173</v>
      </c>
    </row>
    <row r="107" spans="1:22" ht="26.25" thickBot="1">
      <c r="A107" s="14">
        <v>106</v>
      </c>
      <c r="B107" s="15" t="s">
        <v>320</v>
      </c>
      <c r="C107" s="16" t="s">
        <v>23</v>
      </c>
      <c r="D107" s="17">
        <v>46073</v>
      </c>
      <c r="E107" s="14" t="s">
        <v>321</v>
      </c>
      <c r="F107" s="14" t="s">
        <v>322</v>
      </c>
      <c r="G107" s="17">
        <v>46071</v>
      </c>
      <c r="H107" s="14">
        <v>1744</v>
      </c>
      <c r="I107" s="14">
        <v>178</v>
      </c>
      <c r="J107" s="18">
        <v>70349</v>
      </c>
      <c r="K107" s="14">
        <v>152</v>
      </c>
      <c r="L107" s="14" t="s">
        <v>27</v>
      </c>
      <c r="M107" s="19">
        <v>3524.66</v>
      </c>
      <c r="N107" s="20">
        <v>74025.66</v>
      </c>
      <c r="O107" s="21" t="s">
        <v>27</v>
      </c>
      <c r="P107" s="20">
        <v>74026</v>
      </c>
      <c r="Q107" s="22">
        <v>46101</v>
      </c>
      <c r="R107" s="14" t="s">
        <v>33</v>
      </c>
      <c r="S107" s="23"/>
      <c r="T107" s="14" t="s">
        <v>34</v>
      </c>
      <c r="U107" s="23"/>
      <c r="V107" s="25">
        <f t="shared" ca="1" si="8"/>
        <v>137</v>
      </c>
    </row>
    <row r="108" spans="1:22" ht="26.25" thickBot="1">
      <c r="A108" s="2">
        <v>107</v>
      </c>
      <c r="B108" s="15" t="s">
        <v>320</v>
      </c>
      <c r="C108" s="16" t="s">
        <v>23</v>
      </c>
      <c r="D108" s="17">
        <v>46080</v>
      </c>
      <c r="E108" s="14" t="s">
        <v>323</v>
      </c>
      <c r="F108" s="14" t="s">
        <v>324</v>
      </c>
      <c r="G108" s="17">
        <v>46080</v>
      </c>
      <c r="H108" s="14">
        <v>1779</v>
      </c>
      <c r="I108" s="14">
        <v>102</v>
      </c>
      <c r="J108" s="18">
        <v>54701</v>
      </c>
      <c r="K108" s="14">
        <v>2</v>
      </c>
      <c r="L108" s="14" t="s">
        <v>27</v>
      </c>
      <c r="M108" s="19">
        <v>2735.08</v>
      </c>
      <c r="N108" s="20">
        <v>57438.080000000002</v>
      </c>
      <c r="O108" s="21" t="s">
        <v>27</v>
      </c>
      <c r="P108" s="20">
        <v>57438</v>
      </c>
      <c r="Q108" s="22">
        <v>46110</v>
      </c>
      <c r="R108" s="14" t="s">
        <v>33</v>
      </c>
      <c r="S108" s="23"/>
      <c r="T108" s="14" t="s">
        <v>34</v>
      </c>
      <c r="U108" s="23"/>
      <c r="V108" s="25">
        <f t="shared" ca="1" si="8"/>
        <v>128</v>
      </c>
    </row>
    <row r="109" spans="1:22" ht="26.25" thickBot="1">
      <c r="A109" s="14">
        <v>108</v>
      </c>
      <c r="B109" s="15" t="s">
        <v>320</v>
      </c>
      <c r="C109" s="16" t="s">
        <v>23</v>
      </c>
      <c r="D109" s="17">
        <v>46088</v>
      </c>
      <c r="E109" s="14" t="s">
        <v>325</v>
      </c>
      <c r="F109" s="14" t="s">
        <v>326</v>
      </c>
      <c r="G109" s="17">
        <v>46088</v>
      </c>
      <c r="H109" s="14">
        <v>1802</v>
      </c>
      <c r="I109" s="14">
        <v>404</v>
      </c>
      <c r="J109" s="18">
        <v>180621</v>
      </c>
      <c r="K109" s="14">
        <v>2</v>
      </c>
      <c r="L109" s="14" t="s">
        <v>27</v>
      </c>
      <c r="M109" s="19">
        <v>9031.2000000000007</v>
      </c>
      <c r="N109" s="20">
        <v>189654.2</v>
      </c>
      <c r="O109" s="21" t="s">
        <v>27</v>
      </c>
      <c r="P109" s="20">
        <v>189654</v>
      </c>
      <c r="Q109" s="22">
        <v>46118</v>
      </c>
      <c r="R109" s="14" t="s">
        <v>33</v>
      </c>
      <c r="S109" s="23"/>
      <c r="T109" s="14" t="s">
        <v>34</v>
      </c>
      <c r="U109" s="23"/>
      <c r="V109" s="25">
        <f t="shared" ca="1" si="8"/>
        <v>120</v>
      </c>
    </row>
    <row r="110" spans="1:22" ht="26.25" thickBot="1">
      <c r="A110" s="2">
        <v>109</v>
      </c>
      <c r="B110" s="15" t="s">
        <v>320</v>
      </c>
      <c r="C110" s="16" t="s">
        <v>23</v>
      </c>
      <c r="D110" s="17">
        <v>46088</v>
      </c>
      <c r="E110" s="14" t="s">
        <v>327</v>
      </c>
      <c r="F110" s="14" t="s">
        <v>328</v>
      </c>
      <c r="G110" s="17">
        <v>46088</v>
      </c>
      <c r="H110" s="14">
        <v>1803</v>
      </c>
      <c r="I110" s="14">
        <v>136</v>
      </c>
      <c r="J110" s="18">
        <v>119304</v>
      </c>
      <c r="K110" s="14">
        <v>431</v>
      </c>
      <c r="L110" s="14" t="s">
        <v>27</v>
      </c>
      <c r="M110" s="19">
        <v>5965.26</v>
      </c>
      <c r="N110" s="20">
        <v>125700</v>
      </c>
      <c r="O110" s="21" t="s">
        <v>27</v>
      </c>
      <c r="P110" s="20">
        <v>125700</v>
      </c>
      <c r="Q110" s="22">
        <v>46118</v>
      </c>
      <c r="R110" s="14" t="s">
        <v>33</v>
      </c>
      <c r="S110" s="23"/>
      <c r="T110" s="14" t="s">
        <v>34</v>
      </c>
      <c r="U110" s="23"/>
      <c r="V110" s="25">
        <f t="shared" ca="1" si="8"/>
        <v>120</v>
      </c>
    </row>
    <row r="111" spans="1:22" ht="26.25" thickBot="1">
      <c r="A111" s="14">
        <v>110</v>
      </c>
      <c r="B111" s="15" t="s">
        <v>329</v>
      </c>
      <c r="C111" s="16" t="s">
        <v>23</v>
      </c>
      <c r="D111" s="17">
        <v>45921</v>
      </c>
      <c r="E111" s="14" t="s">
        <v>330</v>
      </c>
      <c r="F111" s="14" t="s">
        <v>331</v>
      </c>
      <c r="G111" s="17">
        <v>45920</v>
      </c>
      <c r="H111" s="14" t="s">
        <v>332</v>
      </c>
      <c r="I111" s="14">
        <v>144</v>
      </c>
      <c r="J111" s="18">
        <v>127326.6</v>
      </c>
      <c r="K111" s="14" t="s">
        <v>27</v>
      </c>
      <c r="L111" s="14" t="s">
        <v>27</v>
      </c>
      <c r="M111" s="19">
        <v>6366.06</v>
      </c>
      <c r="N111" s="20">
        <v>133692.66</v>
      </c>
      <c r="O111" s="21" t="s">
        <v>27</v>
      </c>
      <c r="P111" s="20">
        <v>133693</v>
      </c>
      <c r="Q111" s="22">
        <v>45950</v>
      </c>
      <c r="R111" s="14" t="s">
        <v>33</v>
      </c>
      <c r="S111" s="23"/>
      <c r="T111" s="14" t="s">
        <v>34</v>
      </c>
      <c r="U111" s="23"/>
      <c r="V111" s="25">
        <f t="shared" ca="1" si="8"/>
        <v>288</v>
      </c>
    </row>
    <row r="112" spans="1:22" ht="26.25" thickBot="1">
      <c r="A112" s="2">
        <v>111</v>
      </c>
      <c r="B112" s="15" t="s">
        <v>333</v>
      </c>
      <c r="C112" s="16" t="s">
        <v>23</v>
      </c>
      <c r="D112" s="17">
        <v>46091</v>
      </c>
      <c r="E112" s="14" t="s">
        <v>334</v>
      </c>
      <c r="F112" s="14" t="s">
        <v>335</v>
      </c>
      <c r="G112" s="17">
        <v>46087</v>
      </c>
      <c r="H112" s="14" t="s">
        <v>336</v>
      </c>
      <c r="I112" s="14">
        <v>50</v>
      </c>
      <c r="J112" s="18">
        <v>25900</v>
      </c>
      <c r="K112" s="14" t="s">
        <v>27</v>
      </c>
      <c r="L112" s="14" t="s">
        <v>27</v>
      </c>
      <c r="M112" s="19">
        <v>1295</v>
      </c>
      <c r="N112" s="20">
        <v>27195</v>
      </c>
      <c r="O112" s="21" t="s">
        <v>27</v>
      </c>
      <c r="P112" s="20">
        <v>27195</v>
      </c>
      <c r="Q112" s="14" t="e">
        <v>#VALUE!</v>
      </c>
      <c r="R112" s="14" t="s">
        <v>33</v>
      </c>
      <c r="S112" s="23"/>
      <c r="T112" s="14" t="s">
        <v>34</v>
      </c>
      <c r="U112" s="23"/>
      <c r="V112" s="25">
        <f t="shared" ca="1" si="8"/>
        <v>121</v>
      </c>
    </row>
    <row r="113" spans="1:22" ht="26.25" thickBot="1">
      <c r="A113" s="14">
        <v>112</v>
      </c>
      <c r="B113" s="15" t="s">
        <v>337</v>
      </c>
      <c r="C113" s="16" t="s">
        <v>23</v>
      </c>
      <c r="D113" s="17">
        <v>46067</v>
      </c>
      <c r="E113" s="14" t="s">
        <v>338</v>
      </c>
      <c r="F113" s="14" t="s">
        <v>339</v>
      </c>
      <c r="G113" s="17">
        <v>46049</v>
      </c>
      <c r="H113" s="14">
        <v>3640</v>
      </c>
      <c r="I113" s="14">
        <v>24</v>
      </c>
      <c r="J113" s="18">
        <v>47976</v>
      </c>
      <c r="K113" s="14" t="s">
        <v>27</v>
      </c>
      <c r="L113" s="14" t="s">
        <v>27</v>
      </c>
      <c r="M113" s="19">
        <v>2398.8000000000002</v>
      </c>
      <c r="N113" s="20">
        <v>50374.8</v>
      </c>
      <c r="O113" s="21" t="s">
        <v>27</v>
      </c>
      <c r="P113" s="20">
        <v>50375</v>
      </c>
      <c r="Q113" s="22">
        <v>46079</v>
      </c>
      <c r="R113" s="14" t="s">
        <v>33</v>
      </c>
      <c r="S113" s="23"/>
      <c r="T113" s="14" t="s">
        <v>34</v>
      </c>
      <c r="U113" s="23"/>
      <c r="V113" s="25">
        <f t="shared" ca="1" si="8"/>
        <v>159</v>
      </c>
    </row>
    <row r="114" spans="1:22" ht="26.25" thickBot="1">
      <c r="A114" s="2">
        <v>113</v>
      </c>
      <c r="B114" s="15" t="s">
        <v>337</v>
      </c>
      <c r="C114" s="16" t="s">
        <v>23</v>
      </c>
      <c r="D114" s="17">
        <v>46068</v>
      </c>
      <c r="E114" s="14" t="s">
        <v>340</v>
      </c>
      <c r="F114" s="14" t="s">
        <v>341</v>
      </c>
      <c r="G114" s="17">
        <v>46058</v>
      </c>
      <c r="H114" s="14">
        <v>3838</v>
      </c>
      <c r="I114" s="14">
        <v>24</v>
      </c>
      <c r="J114" s="18">
        <v>49788</v>
      </c>
      <c r="K114" s="14" t="s">
        <v>27</v>
      </c>
      <c r="L114" s="14" t="s">
        <v>27</v>
      </c>
      <c r="M114" s="19">
        <v>2489.4</v>
      </c>
      <c r="N114" s="20">
        <v>52277.4</v>
      </c>
      <c r="O114" s="21" t="s">
        <v>27</v>
      </c>
      <c r="P114" s="20">
        <v>52277</v>
      </c>
      <c r="Q114" s="22">
        <v>46088</v>
      </c>
      <c r="R114" s="14" t="s">
        <v>33</v>
      </c>
      <c r="S114" s="23"/>
      <c r="T114" s="14" t="s">
        <v>34</v>
      </c>
      <c r="U114" s="23"/>
      <c r="V114" s="25">
        <f t="shared" ca="1" si="8"/>
        <v>150</v>
      </c>
    </row>
    <row r="115" spans="1:22" ht="26.25" thickBot="1">
      <c r="A115" s="14">
        <v>114</v>
      </c>
      <c r="B115" s="15" t="s">
        <v>342</v>
      </c>
      <c r="C115" s="16" t="s">
        <v>23</v>
      </c>
      <c r="D115" s="17">
        <v>46052</v>
      </c>
      <c r="E115" s="14" t="s">
        <v>343</v>
      </c>
      <c r="F115" s="14" t="s">
        <v>344</v>
      </c>
      <c r="G115" s="17">
        <v>46042</v>
      </c>
      <c r="H115" s="14" t="s">
        <v>345</v>
      </c>
      <c r="I115" s="14">
        <v>43</v>
      </c>
      <c r="J115" s="18">
        <v>103360</v>
      </c>
      <c r="K115" s="14" t="s">
        <v>27</v>
      </c>
      <c r="L115" s="14" t="s">
        <v>27</v>
      </c>
      <c r="M115" s="19">
        <v>9737.5</v>
      </c>
      <c r="N115" s="20">
        <v>113097.5</v>
      </c>
      <c r="O115" s="21" t="s">
        <v>27</v>
      </c>
      <c r="P115" s="20">
        <v>113098</v>
      </c>
      <c r="Q115" s="22">
        <v>46072</v>
      </c>
      <c r="R115" s="14" t="s">
        <v>33</v>
      </c>
      <c r="S115" s="23"/>
      <c r="T115" s="14" t="s">
        <v>34</v>
      </c>
      <c r="U115" s="23"/>
      <c r="V115" s="25">
        <v>166</v>
      </c>
    </row>
    <row r="116" spans="1:22" ht="26.25" thickBot="1">
      <c r="A116" s="2">
        <v>115</v>
      </c>
      <c r="B116" s="15" t="s">
        <v>342</v>
      </c>
      <c r="C116" s="16" t="s">
        <v>23</v>
      </c>
      <c r="D116" s="17">
        <v>46057</v>
      </c>
      <c r="E116" s="14" t="s">
        <v>346</v>
      </c>
      <c r="F116" s="14" t="s">
        <v>347</v>
      </c>
      <c r="G116" s="17">
        <v>46043</v>
      </c>
      <c r="H116" s="14" t="s">
        <v>348</v>
      </c>
      <c r="I116" s="14">
        <v>53</v>
      </c>
      <c r="J116" s="18">
        <v>109275</v>
      </c>
      <c r="K116" s="14" t="s">
        <v>27</v>
      </c>
      <c r="L116" s="14" t="s">
        <v>27</v>
      </c>
      <c r="M116" s="19">
        <v>6917.8</v>
      </c>
      <c r="N116" s="20">
        <v>116192.8</v>
      </c>
      <c r="O116" s="21" t="s">
        <v>27</v>
      </c>
      <c r="P116" s="20">
        <v>116193</v>
      </c>
      <c r="Q116" s="22">
        <v>46073</v>
      </c>
      <c r="R116" s="14" t="s">
        <v>33</v>
      </c>
      <c r="S116" s="23"/>
      <c r="T116" s="14" t="s">
        <v>34</v>
      </c>
      <c r="U116" s="23"/>
      <c r="V116" s="25">
        <v>165</v>
      </c>
    </row>
    <row r="117" spans="1:22" ht="26.25" thickBot="1">
      <c r="A117" s="14">
        <v>116</v>
      </c>
      <c r="B117" s="15" t="s">
        <v>342</v>
      </c>
      <c r="C117" s="16" t="s">
        <v>23</v>
      </c>
      <c r="D117" s="17">
        <v>46057</v>
      </c>
      <c r="E117" s="14" t="s">
        <v>349</v>
      </c>
      <c r="F117" s="14" t="s">
        <v>350</v>
      </c>
      <c r="G117" s="17">
        <v>46043</v>
      </c>
      <c r="H117" s="14" t="s">
        <v>351</v>
      </c>
      <c r="I117" s="14">
        <v>44</v>
      </c>
      <c r="J117" s="18">
        <v>104880</v>
      </c>
      <c r="K117" s="14" t="s">
        <v>27</v>
      </c>
      <c r="L117" s="14" t="s">
        <v>27</v>
      </c>
      <c r="M117" s="19">
        <v>10279.549999999999</v>
      </c>
      <c r="N117" s="20">
        <v>115159.55</v>
      </c>
      <c r="O117" s="21" t="s">
        <v>27</v>
      </c>
      <c r="P117" s="20">
        <v>115160</v>
      </c>
      <c r="Q117" s="22">
        <v>46073</v>
      </c>
      <c r="R117" s="14" t="s">
        <v>33</v>
      </c>
      <c r="S117" s="23"/>
      <c r="T117" s="14" t="s">
        <v>34</v>
      </c>
      <c r="U117" s="23"/>
      <c r="V117" s="25">
        <v>165</v>
      </c>
    </row>
    <row r="118" spans="1:22" ht="26.25" thickBot="1">
      <c r="A118" s="2">
        <v>117</v>
      </c>
      <c r="B118" s="15" t="s">
        <v>342</v>
      </c>
      <c r="C118" s="16" t="s">
        <v>23</v>
      </c>
      <c r="D118" s="17">
        <v>46064</v>
      </c>
      <c r="E118" s="14" t="s">
        <v>352</v>
      </c>
      <c r="F118" s="14" t="s">
        <v>353</v>
      </c>
      <c r="G118" s="17">
        <v>46042</v>
      </c>
      <c r="H118" s="14" t="s">
        <v>354</v>
      </c>
      <c r="I118" s="14">
        <v>34</v>
      </c>
      <c r="J118" s="18">
        <v>91850</v>
      </c>
      <c r="K118" s="14" t="s">
        <v>27</v>
      </c>
      <c r="L118" s="14" t="s">
        <v>27</v>
      </c>
      <c r="M118" s="19">
        <v>12030.45</v>
      </c>
      <c r="N118" s="20">
        <v>103880.45</v>
      </c>
      <c r="O118" s="21" t="s">
        <v>27</v>
      </c>
      <c r="P118" s="20">
        <v>103880</v>
      </c>
      <c r="Q118" s="22">
        <v>46072</v>
      </c>
      <c r="R118" s="14" t="s">
        <v>33</v>
      </c>
      <c r="S118" s="23"/>
      <c r="T118" s="14" t="s">
        <v>34</v>
      </c>
      <c r="U118" s="23"/>
      <c r="V118" s="25">
        <v>166</v>
      </c>
    </row>
    <row r="119" spans="1:22" ht="26.25" thickBot="1">
      <c r="A119" s="14">
        <v>118</v>
      </c>
      <c r="B119" s="15" t="s">
        <v>355</v>
      </c>
      <c r="C119" s="16" t="s">
        <v>23</v>
      </c>
      <c r="D119" s="17">
        <v>46115</v>
      </c>
      <c r="E119" s="14" t="s">
        <v>356</v>
      </c>
      <c r="F119" s="14" t="s">
        <v>356</v>
      </c>
      <c r="G119" s="17">
        <v>46113</v>
      </c>
      <c r="H119" s="14" t="s">
        <v>357</v>
      </c>
      <c r="I119" s="14">
        <v>59</v>
      </c>
      <c r="J119" s="18">
        <v>97005</v>
      </c>
      <c r="K119" s="23"/>
      <c r="L119" s="23"/>
      <c r="M119" s="19">
        <v>4850</v>
      </c>
      <c r="N119" s="20">
        <v>101855</v>
      </c>
      <c r="O119" s="21" t="s">
        <v>27</v>
      </c>
      <c r="P119" s="20">
        <v>101855</v>
      </c>
      <c r="Q119" s="22">
        <v>46143</v>
      </c>
      <c r="R119" s="14" t="s">
        <v>33</v>
      </c>
      <c r="S119" s="23"/>
      <c r="T119" s="14" t="s">
        <v>34</v>
      </c>
      <c r="U119" s="23"/>
      <c r="V119" s="25">
        <f t="shared" ref="V119:V123" ca="1" si="9">TODAY()-G119</f>
        <v>95</v>
      </c>
    </row>
    <row r="120" spans="1:22" ht="26.25" thickBot="1">
      <c r="A120" s="2">
        <v>119</v>
      </c>
      <c r="B120" s="15" t="s">
        <v>355</v>
      </c>
      <c r="C120" s="16" t="s">
        <v>23</v>
      </c>
      <c r="D120" s="17">
        <v>46116</v>
      </c>
      <c r="E120" s="14" t="s">
        <v>358</v>
      </c>
      <c r="F120" s="14" t="s">
        <v>358</v>
      </c>
      <c r="G120" s="17">
        <v>46113</v>
      </c>
      <c r="H120" s="14" t="s">
        <v>359</v>
      </c>
      <c r="I120" s="14">
        <v>57</v>
      </c>
      <c r="J120" s="18">
        <v>115015</v>
      </c>
      <c r="K120" s="23"/>
      <c r="L120" s="23"/>
      <c r="M120" s="19">
        <v>5751</v>
      </c>
      <c r="N120" s="20">
        <v>120766</v>
      </c>
      <c r="O120" s="21" t="s">
        <v>27</v>
      </c>
      <c r="P120" s="20">
        <v>120766</v>
      </c>
      <c r="Q120" s="22">
        <v>46143</v>
      </c>
      <c r="R120" s="14" t="s">
        <v>33</v>
      </c>
      <c r="S120" s="23"/>
      <c r="T120" s="14" t="s">
        <v>34</v>
      </c>
      <c r="U120" s="23"/>
      <c r="V120" s="25">
        <f t="shared" ca="1" si="9"/>
        <v>95</v>
      </c>
    </row>
    <row r="121" spans="1:22" ht="26.25" thickBot="1">
      <c r="A121" s="14">
        <v>120</v>
      </c>
      <c r="B121" s="15" t="s">
        <v>355</v>
      </c>
      <c r="C121" s="16" t="s">
        <v>23</v>
      </c>
      <c r="D121" s="17">
        <v>46116</v>
      </c>
      <c r="E121" s="14" t="s">
        <v>360</v>
      </c>
      <c r="F121" s="14" t="s">
        <v>360</v>
      </c>
      <c r="G121" s="17">
        <v>46113</v>
      </c>
      <c r="H121" s="14" t="s">
        <v>361</v>
      </c>
      <c r="I121" s="14">
        <v>55</v>
      </c>
      <c r="J121" s="18">
        <v>103725</v>
      </c>
      <c r="K121" s="23"/>
      <c r="L121" s="23"/>
      <c r="M121" s="19">
        <v>5186</v>
      </c>
      <c r="N121" s="20">
        <v>108911</v>
      </c>
      <c r="O121" s="21" t="s">
        <v>27</v>
      </c>
      <c r="P121" s="20">
        <v>108911</v>
      </c>
      <c r="Q121" s="22">
        <v>46143</v>
      </c>
      <c r="R121" s="14" t="s">
        <v>33</v>
      </c>
      <c r="S121" s="23"/>
      <c r="T121" s="14" t="s">
        <v>34</v>
      </c>
      <c r="U121" s="23"/>
      <c r="V121" s="25">
        <f t="shared" ca="1" si="9"/>
        <v>95</v>
      </c>
    </row>
    <row r="122" spans="1:22" ht="26.25" thickBot="1">
      <c r="A122" s="2">
        <v>121</v>
      </c>
      <c r="B122" s="15" t="s">
        <v>355</v>
      </c>
      <c r="C122" s="16" t="s">
        <v>23</v>
      </c>
      <c r="D122" s="17">
        <v>46116</v>
      </c>
      <c r="E122" s="14" t="s">
        <v>362</v>
      </c>
      <c r="F122" s="14" t="s">
        <v>362</v>
      </c>
      <c r="G122" s="17">
        <v>46113</v>
      </c>
      <c r="H122" s="14" t="s">
        <v>363</v>
      </c>
      <c r="I122" s="14">
        <v>60</v>
      </c>
      <c r="J122" s="18">
        <v>114400</v>
      </c>
      <c r="K122" s="23"/>
      <c r="L122" s="23"/>
      <c r="M122" s="19">
        <v>5720</v>
      </c>
      <c r="N122" s="20">
        <v>120120</v>
      </c>
      <c r="O122" s="21" t="s">
        <v>27</v>
      </c>
      <c r="P122" s="20">
        <v>120120</v>
      </c>
      <c r="Q122" s="22">
        <v>46143</v>
      </c>
      <c r="R122" s="14" t="s">
        <v>33</v>
      </c>
      <c r="S122" s="23"/>
      <c r="T122" s="14" t="s">
        <v>34</v>
      </c>
      <c r="U122" s="23"/>
      <c r="V122" s="25">
        <f t="shared" ca="1" si="9"/>
        <v>95</v>
      </c>
    </row>
    <row r="123" spans="1:22" ht="26.25" thickBot="1">
      <c r="A123" s="14">
        <v>122</v>
      </c>
      <c r="B123" s="15" t="s">
        <v>355</v>
      </c>
      <c r="C123" s="16" t="s">
        <v>23</v>
      </c>
      <c r="D123" s="17">
        <v>46116</v>
      </c>
      <c r="E123" s="14" t="s">
        <v>364</v>
      </c>
      <c r="F123" s="14" t="s">
        <v>364</v>
      </c>
      <c r="G123" s="17">
        <v>46113</v>
      </c>
      <c r="H123" s="14" t="s">
        <v>365</v>
      </c>
      <c r="I123" s="14">
        <v>58</v>
      </c>
      <c r="J123" s="18">
        <v>111410</v>
      </c>
      <c r="K123" s="23"/>
      <c r="L123" s="23"/>
      <c r="M123" s="19">
        <v>5570</v>
      </c>
      <c r="N123" s="20">
        <v>116980</v>
      </c>
      <c r="O123" s="21" t="s">
        <v>27</v>
      </c>
      <c r="P123" s="20">
        <v>116980</v>
      </c>
      <c r="Q123" s="22">
        <v>46143</v>
      </c>
      <c r="R123" s="14" t="s">
        <v>33</v>
      </c>
      <c r="S123" s="23"/>
      <c r="T123" s="14" t="s">
        <v>34</v>
      </c>
      <c r="U123" s="23"/>
      <c r="V123" s="25">
        <f t="shared" ca="1" si="9"/>
        <v>95</v>
      </c>
    </row>
    <row r="124" spans="1:22" ht="26.25" thickBot="1">
      <c r="A124" s="2">
        <v>123</v>
      </c>
      <c r="B124" s="15" t="s">
        <v>366</v>
      </c>
      <c r="C124" s="16" t="s">
        <v>23</v>
      </c>
      <c r="D124" s="17">
        <v>45900</v>
      </c>
      <c r="E124" s="14" t="s">
        <v>367</v>
      </c>
      <c r="F124" s="14" t="s">
        <v>368</v>
      </c>
      <c r="G124" s="17">
        <v>45890</v>
      </c>
      <c r="H124" s="14" t="s">
        <v>369</v>
      </c>
      <c r="I124" s="14">
        <v>39</v>
      </c>
      <c r="J124" s="18">
        <v>15342</v>
      </c>
      <c r="K124" s="14" t="s">
        <v>27</v>
      </c>
      <c r="L124" s="14" t="s">
        <v>27</v>
      </c>
      <c r="M124" s="19">
        <v>1107.44</v>
      </c>
      <c r="N124" s="20">
        <v>16449.439999999999</v>
      </c>
      <c r="O124" s="21" t="s">
        <v>27</v>
      </c>
      <c r="P124" s="20">
        <v>16449</v>
      </c>
      <c r="Q124" s="22">
        <v>45920</v>
      </c>
      <c r="R124" s="14" t="s">
        <v>33</v>
      </c>
      <c r="S124" s="23"/>
      <c r="T124" s="14" t="s">
        <v>34</v>
      </c>
      <c r="U124" s="23"/>
      <c r="V124" s="25">
        <v>318</v>
      </c>
    </row>
    <row r="125" spans="1:22" ht="26.25" thickBot="1">
      <c r="A125" s="14">
        <v>124</v>
      </c>
      <c r="B125" s="15" t="s">
        <v>366</v>
      </c>
      <c r="C125" s="16" t="s">
        <v>23</v>
      </c>
      <c r="D125" s="17">
        <v>45927</v>
      </c>
      <c r="E125" s="14" t="s">
        <v>370</v>
      </c>
      <c r="F125" s="14" t="s">
        <v>371</v>
      </c>
      <c r="G125" s="17">
        <v>45926</v>
      </c>
      <c r="H125" s="14" t="s">
        <v>372</v>
      </c>
      <c r="I125" s="14">
        <v>177</v>
      </c>
      <c r="J125" s="18">
        <v>45573.45</v>
      </c>
      <c r="K125" s="14" t="s">
        <v>27</v>
      </c>
      <c r="L125" s="14" t="s">
        <v>27</v>
      </c>
      <c r="M125" s="19">
        <v>2278.94</v>
      </c>
      <c r="N125" s="20">
        <v>47852.39</v>
      </c>
      <c r="O125" s="21" t="s">
        <v>27</v>
      </c>
      <c r="P125" s="20">
        <v>47852</v>
      </c>
      <c r="Q125" s="22">
        <v>45956</v>
      </c>
      <c r="R125" s="14" t="s">
        <v>33</v>
      </c>
      <c r="S125" s="23"/>
      <c r="T125" s="14" t="s">
        <v>34</v>
      </c>
      <c r="U125" s="23"/>
      <c r="V125" s="25">
        <v>282</v>
      </c>
    </row>
    <row r="126" spans="1:22" ht="26.25" thickBot="1">
      <c r="A126" s="2">
        <v>125</v>
      </c>
      <c r="B126" s="15" t="s">
        <v>366</v>
      </c>
      <c r="C126" s="16" t="s">
        <v>23</v>
      </c>
      <c r="D126" s="17">
        <v>45948</v>
      </c>
      <c r="E126" s="14" t="s">
        <v>373</v>
      </c>
      <c r="F126" s="14" t="s">
        <v>374</v>
      </c>
      <c r="G126" s="17">
        <v>45939</v>
      </c>
      <c r="H126" s="14" t="s">
        <v>375</v>
      </c>
      <c r="I126" s="14">
        <v>6</v>
      </c>
      <c r="J126" s="18">
        <v>2322</v>
      </c>
      <c r="K126" s="14" t="s">
        <v>27</v>
      </c>
      <c r="L126" s="14" t="s">
        <v>27</v>
      </c>
      <c r="M126" s="14">
        <v>116.1</v>
      </c>
      <c r="N126" s="20">
        <v>2438.1</v>
      </c>
      <c r="O126" s="21" t="s">
        <v>27</v>
      </c>
      <c r="P126" s="20">
        <v>2438</v>
      </c>
      <c r="Q126" s="22">
        <v>45969</v>
      </c>
      <c r="R126" s="14" t="s">
        <v>33</v>
      </c>
      <c r="S126" s="23"/>
      <c r="T126" s="14" t="s">
        <v>34</v>
      </c>
      <c r="U126" s="23"/>
      <c r="V126" s="25">
        <v>269</v>
      </c>
    </row>
    <row r="127" spans="1:22" ht="26.25" thickBot="1">
      <c r="A127" s="14">
        <v>126</v>
      </c>
      <c r="B127" s="15" t="s">
        <v>366</v>
      </c>
      <c r="C127" s="16" t="s">
        <v>23</v>
      </c>
      <c r="D127" s="17">
        <v>45980</v>
      </c>
      <c r="E127" s="14" t="s">
        <v>376</v>
      </c>
      <c r="F127" s="14" t="s">
        <v>377</v>
      </c>
      <c r="G127" s="17">
        <v>45973</v>
      </c>
      <c r="H127" s="14" t="s">
        <v>378</v>
      </c>
      <c r="I127" s="14">
        <v>4</v>
      </c>
      <c r="J127" s="18">
        <v>2388</v>
      </c>
      <c r="K127" s="14" t="s">
        <v>27</v>
      </c>
      <c r="L127" s="14" t="s">
        <v>27</v>
      </c>
      <c r="M127" s="14">
        <v>119.4</v>
      </c>
      <c r="N127" s="20">
        <v>2507.4</v>
      </c>
      <c r="O127" s="21" t="s">
        <v>27</v>
      </c>
      <c r="P127" s="20">
        <v>2507</v>
      </c>
      <c r="Q127" s="22">
        <v>46003</v>
      </c>
      <c r="R127" s="14" t="s">
        <v>33</v>
      </c>
      <c r="S127" s="23"/>
      <c r="T127" s="14" t="s">
        <v>34</v>
      </c>
      <c r="U127" s="23"/>
      <c r="V127" s="25">
        <v>235</v>
      </c>
    </row>
    <row r="128" spans="1:22" ht="26.25" thickBot="1">
      <c r="A128" s="2">
        <v>127</v>
      </c>
      <c r="B128" s="15" t="s">
        <v>366</v>
      </c>
      <c r="C128" s="16" t="s">
        <v>23</v>
      </c>
      <c r="D128" s="17">
        <v>45980</v>
      </c>
      <c r="E128" s="14" t="s">
        <v>379</v>
      </c>
      <c r="F128" s="14" t="s">
        <v>380</v>
      </c>
      <c r="G128" s="17">
        <v>45948</v>
      </c>
      <c r="H128" s="14" t="s">
        <v>381</v>
      </c>
      <c r="I128" s="14">
        <v>10</v>
      </c>
      <c r="J128" s="18">
        <v>4170</v>
      </c>
      <c r="K128" s="14" t="s">
        <v>27</v>
      </c>
      <c r="L128" s="14" t="s">
        <v>27</v>
      </c>
      <c r="M128" s="14">
        <v>208.5</v>
      </c>
      <c r="N128" s="20">
        <v>4378.5</v>
      </c>
      <c r="O128" s="21" t="s">
        <v>27</v>
      </c>
      <c r="P128" s="20">
        <v>4379</v>
      </c>
      <c r="Q128" s="22">
        <v>45978</v>
      </c>
      <c r="R128" s="14" t="s">
        <v>33</v>
      </c>
      <c r="S128" s="23"/>
      <c r="T128" s="14" t="s">
        <v>34</v>
      </c>
      <c r="U128" s="23"/>
      <c r="V128" s="25">
        <v>260</v>
      </c>
    </row>
    <row r="129" spans="1:22" ht="26.25" thickBot="1">
      <c r="A129" s="14">
        <v>128</v>
      </c>
      <c r="B129" s="15" t="s">
        <v>382</v>
      </c>
      <c r="C129" s="16" t="s">
        <v>23</v>
      </c>
      <c r="D129" s="17">
        <v>46149</v>
      </c>
      <c r="E129" s="14" t="s">
        <v>383</v>
      </c>
      <c r="F129" s="14" t="s">
        <v>383</v>
      </c>
      <c r="G129" s="17">
        <v>46149</v>
      </c>
      <c r="H129" s="14" t="s">
        <v>384</v>
      </c>
      <c r="I129" s="14">
        <v>125</v>
      </c>
      <c r="J129" s="18">
        <v>40498.71</v>
      </c>
      <c r="K129" s="23"/>
      <c r="L129" s="23"/>
      <c r="M129" s="19">
        <v>2024.94</v>
      </c>
      <c r="N129" s="20">
        <v>42523.65</v>
      </c>
      <c r="O129" s="21" t="s">
        <v>27</v>
      </c>
      <c r="P129" s="20">
        <v>42524</v>
      </c>
      <c r="Q129" s="22">
        <v>46179</v>
      </c>
      <c r="R129" s="14" t="s">
        <v>33</v>
      </c>
      <c r="S129" s="23"/>
      <c r="T129" s="14" t="s">
        <v>34</v>
      </c>
      <c r="U129" s="23"/>
      <c r="V129" s="25">
        <v>59</v>
      </c>
    </row>
    <row r="130" spans="1:22" ht="26.25" thickBot="1">
      <c r="A130" s="2">
        <v>129</v>
      </c>
      <c r="B130" s="15" t="s">
        <v>382</v>
      </c>
      <c r="C130" s="16" t="s">
        <v>23</v>
      </c>
      <c r="D130" s="17">
        <v>46193</v>
      </c>
      <c r="E130" s="14" t="s">
        <v>385</v>
      </c>
      <c r="F130" s="14" t="s">
        <v>385</v>
      </c>
      <c r="G130" s="17">
        <v>46193</v>
      </c>
      <c r="H130" s="14" t="s">
        <v>386</v>
      </c>
      <c r="I130" s="14">
        <v>79</v>
      </c>
      <c r="J130" s="18">
        <v>22855.82</v>
      </c>
      <c r="K130" s="23"/>
      <c r="L130" s="23"/>
      <c r="M130" s="19">
        <v>1142.8</v>
      </c>
      <c r="N130" s="20">
        <v>23998.62</v>
      </c>
      <c r="O130" s="21" t="s">
        <v>27</v>
      </c>
      <c r="P130" s="20">
        <v>23999</v>
      </c>
      <c r="Q130" s="22">
        <v>46223</v>
      </c>
      <c r="R130" s="14" t="s">
        <v>33</v>
      </c>
      <c r="S130" s="23"/>
      <c r="T130" s="14" t="s">
        <v>34</v>
      </c>
      <c r="U130" s="23"/>
      <c r="V130" s="25">
        <v>15</v>
      </c>
    </row>
    <row r="131" spans="1:22" ht="26.25" thickBot="1">
      <c r="A131" s="14">
        <v>130</v>
      </c>
      <c r="B131" s="15" t="s">
        <v>387</v>
      </c>
      <c r="C131" s="16" t="s">
        <v>23</v>
      </c>
      <c r="D131" s="17">
        <v>46160</v>
      </c>
      <c r="E131" s="14" t="s">
        <v>388</v>
      </c>
      <c r="F131" s="14" t="s">
        <v>388</v>
      </c>
      <c r="G131" s="17">
        <v>46151</v>
      </c>
      <c r="H131" s="14" t="s">
        <v>389</v>
      </c>
      <c r="I131" s="14">
        <v>40</v>
      </c>
      <c r="J131" s="18">
        <v>52100</v>
      </c>
      <c r="K131" s="14">
        <v>850</v>
      </c>
      <c r="L131" s="23"/>
      <c r="M131" s="19">
        <v>2647.5</v>
      </c>
      <c r="N131" s="20">
        <v>55597.5</v>
      </c>
      <c r="O131" s="21" t="s">
        <v>27</v>
      </c>
      <c r="P131" s="20">
        <v>55598</v>
      </c>
      <c r="Q131" s="22">
        <v>46181</v>
      </c>
      <c r="R131" s="14" t="s">
        <v>33</v>
      </c>
      <c r="S131" s="23"/>
      <c r="T131" s="14" t="s">
        <v>34</v>
      </c>
      <c r="U131" s="23"/>
      <c r="V131" s="25">
        <f t="shared" ref="V131:V133" ca="1" si="10">TODAY()-G131</f>
        <v>57</v>
      </c>
    </row>
    <row r="132" spans="1:22" ht="26.25" thickBot="1">
      <c r="A132" s="2">
        <v>131</v>
      </c>
      <c r="B132" s="15" t="s">
        <v>387</v>
      </c>
      <c r="C132" s="16" t="s">
        <v>23</v>
      </c>
      <c r="D132" s="17">
        <v>46160</v>
      </c>
      <c r="E132" s="14" t="s">
        <v>388</v>
      </c>
      <c r="F132" s="14" t="s">
        <v>388</v>
      </c>
      <c r="G132" s="17">
        <v>46151</v>
      </c>
      <c r="H132" s="14" t="s">
        <v>389</v>
      </c>
      <c r="I132" s="14">
        <v>40</v>
      </c>
      <c r="J132" s="18">
        <v>52100</v>
      </c>
      <c r="K132" s="14">
        <v>850</v>
      </c>
      <c r="L132" s="23"/>
      <c r="M132" s="19">
        <v>2647.5</v>
      </c>
      <c r="N132" s="20">
        <v>55597.5</v>
      </c>
      <c r="O132" s="21" t="s">
        <v>27</v>
      </c>
      <c r="P132" s="20">
        <v>55598</v>
      </c>
      <c r="Q132" s="22">
        <v>46181</v>
      </c>
      <c r="R132" s="14" t="s">
        <v>33</v>
      </c>
      <c r="S132" s="23"/>
      <c r="T132" s="14" t="s">
        <v>34</v>
      </c>
      <c r="U132" s="23"/>
      <c r="V132" s="25">
        <f t="shared" ca="1" si="10"/>
        <v>57</v>
      </c>
    </row>
    <row r="133" spans="1:22" ht="26.25" thickBot="1">
      <c r="A133" s="14">
        <v>132</v>
      </c>
      <c r="B133" s="15" t="s">
        <v>390</v>
      </c>
      <c r="C133" s="16" t="s">
        <v>23</v>
      </c>
      <c r="D133" s="17">
        <v>46197</v>
      </c>
      <c r="E133" s="14" t="s">
        <v>391</v>
      </c>
      <c r="F133" s="14" t="s">
        <v>391</v>
      </c>
      <c r="G133" s="17">
        <v>46196</v>
      </c>
      <c r="H133" s="14" t="s">
        <v>392</v>
      </c>
      <c r="I133" s="14">
        <v>40</v>
      </c>
      <c r="J133" s="18">
        <v>7503</v>
      </c>
      <c r="K133" s="23"/>
      <c r="L133" s="23"/>
      <c r="M133" s="14">
        <v>375</v>
      </c>
      <c r="N133" s="20">
        <v>7878</v>
      </c>
      <c r="O133" s="21" t="s">
        <v>27</v>
      </c>
      <c r="P133" s="20">
        <v>7878</v>
      </c>
      <c r="Q133" s="22">
        <v>46226</v>
      </c>
      <c r="R133" s="14" t="s">
        <v>33</v>
      </c>
      <c r="S133" s="23"/>
      <c r="T133" s="14" t="s">
        <v>34</v>
      </c>
      <c r="U133" s="23"/>
      <c r="V133" s="25">
        <f t="shared" ca="1" si="10"/>
        <v>12</v>
      </c>
    </row>
    <row r="134" spans="1:22" ht="26.25" thickBot="1">
      <c r="A134" s="2">
        <v>133</v>
      </c>
      <c r="B134" s="15" t="s">
        <v>393</v>
      </c>
      <c r="C134" s="16" t="s">
        <v>23</v>
      </c>
      <c r="D134" s="17">
        <v>45971</v>
      </c>
      <c r="E134" s="14" t="s">
        <v>394</v>
      </c>
      <c r="F134" s="14" t="s">
        <v>395</v>
      </c>
      <c r="G134" s="17">
        <v>45969</v>
      </c>
      <c r="H134" s="14" t="s">
        <v>396</v>
      </c>
      <c r="I134" s="14">
        <v>35</v>
      </c>
      <c r="J134" s="18">
        <v>49245</v>
      </c>
      <c r="K134" s="14" t="s">
        <v>27</v>
      </c>
      <c r="L134" s="14" t="s">
        <v>27</v>
      </c>
      <c r="M134" s="19">
        <v>2462.25</v>
      </c>
      <c r="N134" s="20">
        <v>51707.25</v>
      </c>
      <c r="O134" s="21" t="s">
        <v>27</v>
      </c>
      <c r="P134" s="20">
        <v>51707</v>
      </c>
      <c r="Q134" s="22">
        <v>45999</v>
      </c>
      <c r="R134" s="14" t="s">
        <v>33</v>
      </c>
      <c r="S134" s="23"/>
      <c r="T134" s="14" t="s">
        <v>34</v>
      </c>
      <c r="U134" s="23"/>
      <c r="V134" s="25">
        <v>239</v>
      </c>
    </row>
    <row r="135" spans="1:22" ht="26.25" thickBot="1">
      <c r="A135" s="14">
        <v>134</v>
      </c>
      <c r="B135" s="15" t="s">
        <v>393</v>
      </c>
      <c r="C135" s="16" t="s">
        <v>23</v>
      </c>
      <c r="D135" s="17">
        <v>46062</v>
      </c>
      <c r="E135" s="14" t="s">
        <v>397</v>
      </c>
      <c r="F135" s="14" t="s">
        <v>398</v>
      </c>
      <c r="G135" s="17">
        <v>46057</v>
      </c>
      <c r="H135" s="14" t="s">
        <v>399</v>
      </c>
      <c r="I135" s="14">
        <v>72</v>
      </c>
      <c r="J135" s="18">
        <v>101235</v>
      </c>
      <c r="K135" s="14" t="s">
        <v>27</v>
      </c>
      <c r="L135" s="14" t="s">
        <v>27</v>
      </c>
      <c r="M135" s="19">
        <v>5061.75</v>
      </c>
      <c r="N135" s="20">
        <v>106296.75</v>
      </c>
      <c r="O135" s="21" t="s">
        <v>27</v>
      </c>
      <c r="P135" s="20">
        <v>106297</v>
      </c>
      <c r="Q135" s="22">
        <v>46087</v>
      </c>
      <c r="R135" s="14" t="s">
        <v>33</v>
      </c>
      <c r="S135" s="23"/>
      <c r="T135" s="14" t="s">
        <v>34</v>
      </c>
      <c r="U135" s="23"/>
      <c r="V135" s="25">
        <v>151</v>
      </c>
    </row>
    <row r="136" spans="1:22" ht="26.25" thickBot="1">
      <c r="A136" s="2">
        <v>135</v>
      </c>
      <c r="B136" s="15" t="s">
        <v>393</v>
      </c>
      <c r="C136" s="16" t="s">
        <v>23</v>
      </c>
      <c r="D136" s="17">
        <v>46074</v>
      </c>
      <c r="E136" s="14" t="s">
        <v>400</v>
      </c>
      <c r="F136" s="14" t="s">
        <v>401</v>
      </c>
      <c r="G136" s="17">
        <v>46072</v>
      </c>
      <c r="H136" s="14" t="s">
        <v>402</v>
      </c>
      <c r="I136" s="14">
        <v>40</v>
      </c>
      <c r="J136" s="18">
        <v>68200</v>
      </c>
      <c r="K136" s="14" t="s">
        <v>27</v>
      </c>
      <c r="L136" s="14" t="s">
        <v>27</v>
      </c>
      <c r="M136" s="19">
        <v>3410</v>
      </c>
      <c r="N136" s="20">
        <v>71610</v>
      </c>
      <c r="O136" s="21" t="s">
        <v>27</v>
      </c>
      <c r="P136" s="20">
        <v>71610</v>
      </c>
      <c r="Q136" s="22">
        <v>46102</v>
      </c>
      <c r="R136" s="14" t="s">
        <v>33</v>
      </c>
      <c r="S136" s="23"/>
      <c r="T136" s="14" t="s">
        <v>34</v>
      </c>
      <c r="U136" s="23"/>
      <c r="V136" s="25">
        <v>136</v>
      </c>
    </row>
    <row r="137" spans="1:22" ht="26.25" thickBot="1">
      <c r="A137" s="14">
        <v>136</v>
      </c>
      <c r="B137" s="15" t="s">
        <v>403</v>
      </c>
      <c r="C137" s="16" t="s">
        <v>23</v>
      </c>
      <c r="D137" s="17">
        <v>46033</v>
      </c>
      <c r="E137" s="14" t="s">
        <v>404</v>
      </c>
      <c r="F137" s="14" t="s">
        <v>405</v>
      </c>
      <c r="G137" s="17">
        <v>46033</v>
      </c>
      <c r="H137" s="14">
        <v>1126</v>
      </c>
      <c r="I137" s="14">
        <v>24</v>
      </c>
      <c r="J137" s="18">
        <v>5900</v>
      </c>
      <c r="K137" s="14" t="s">
        <v>27</v>
      </c>
      <c r="L137" s="14" t="s">
        <v>27</v>
      </c>
      <c r="M137" s="14" t="s">
        <v>27</v>
      </c>
      <c r="N137" s="20">
        <v>5900</v>
      </c>
      <c r="O137" s="21" t="s">
        <v>27</v>
      </c>
      <c r="P137" s="20">
        <v>5900</v>
      </c>
      <c r="Q137" s="22">
        <v>46063</v>
      </c>
      <c r="R137" s="14" t="s">
        <v>33</v>
      </c>
      <c r="S137" s="23"/>
      <c r="T137" s="14" t="s">
        <v>34</v>
      </c>
      <c r="U137" s="23"/>
      <c r="V137" s="25">
        <f t="shared" ref="V137:V138" ca="1" si="11">TODAY()-G137</f>
        <v>175</v>
      </c>
    </row>
    <row r="138" spans="1:22" ht="26.25" thickBot="1">
      <c r="A138" s="2">
        <v>137</v>
      </c>
      <c r="B138" s="15" t="s">
        <v>406</v>
      </c>
      <c r="C138" s="16" t="s">
        <v>23</v>
      </c>
      <c r="D138" s="17">
        <v>46154</v>
      </c>
      <c r="E138" s="14" t="s">
        <v>407</v>
      </c>
      <c r="F138" s="14" t="s">
        <v>407</v>
      </c>
      <c r="G138" s="17">
        <v>46153</v>
      </c>
      <c r="H138" s="14" t="s">
        <v>408</v>
      </c>
      <c r="I138" s="14">
        <v>86</v>
      </c>
      <c r="J138" s="18">
        <v>93177.89</v>
      </c>
      <c r="K138" s="23"/>
      <c r="L138" s="23"/>
      <c r="M138" s="19">
        <v>4658.8900000000003</v>
      </c>
      <c r="N138" s="20">
        <v>97836.78</v>
      </c>
      <c r="O138" s="21" t="s">
        <v>27</v>
      </c>
      <c r="P138" s="20">
        <v>97837</v>
      </c>
      <c r="Q138" s="22">
        <v>46183</v>
      </c>
      <c r="R138" s="14" t="s">
        <v>33</v>
      </c>
      <c r="S138" s="23"/>
      <c r="T138" s="14" t="s">
        <v>34</v>
      </c>
      <c r="U138" s="23"/>
      <c r="V138" s="25">
        <f t="shared" ca="1" si="11"/>
        <v>55</v>
      </c>
    </row>
    <row r="139" spans="1:22" ht="26.25" thickBot="1">
      <c r="A139" s="14">
        <v>138</v>
      </c>
      <c r="B139" s="15" t="s">
        <v>409</v>
      </c>
      <c r="C139" s="16" t="s">
        <v>23</v>
      </c>
      <c r="D139" s="17">
        <v>46114</v>
      </c>
      <c r="E139" s="14" t="s">
        <v>410</v>
      </c>
      <c r="F139" s="14" t="s">
        <v>410</v>
      </c>
      <c r="G139" s="17">
        <v>46114</v>
      </c>
      <c r="H139" s="14" t="s">
        <v>411</v>
      </c>
      <c r="I139" s="14">
        <v>52</v>
      </c>
      <c r="J139" s="18">
        <v>18597</v>
      </c>
      <c r="K139" s="23"/>
      <c r="L139" s="23"/>
      <c r="M139" s="14">
        <v>929.86</v>
      </c>
      <c r="N139" s="20">
        <v>19526.86</v>
      </c>
      <c r="O139" s="21" t="s">
        <v>27</v>
      </c>
      <c r="P139" s="20">
        <v>19527</v>
      </c>
      <c r="Q139" s="22">
        <v>46144</v>
      </c>
      <c r="R139" s="14" t="s">
        <v>33</v>
      </c>
      <c r="S139" s="23"/>
      <c r="T139" s="14" t="s">
        <v>34</v>
      </c>
      <c r="U139" s="23"/>
      <c r="V139" s="25">
        <v>94</v>
      </c>
    </row>
    <row r="140" spans="1:22" ht="26.25" thickBot="1">
      <c r="A140" s="2">
        <v>139</v>
      </c>
      <c r="B140" s="15" t="s">
        <v>409</v>
      </c>
      <c r="C140" s="16" t="s">
        <v>23</v>
      </c>
      <c r="D140" s="17">
        <v>46114</v>
      </c>
      <c r="E140" s="14" t="s">
        <v>412</v>
      </c>
      <c r="F140" s="14" t="s">
        <v>412</v>
      </c>
      <c r="G140" s="17">
        <v>46114</v>
      </c>
      <c r="H140" s="14" t="s">
        <v>413</v>
      </c>
      <c r="I140" s="14">
        <v>64</v>
      </c>
      <c r="J140" s="18">
        <v>24913</v>
      </c>
      <c r="K140" s="23"/>
      <c r="L140" s="23"/>
      <c r="M140" s="19">
        <v>1245.6600000000001</v>
      </c>
      <c r="N140" s="20">
        <v>26158.66</v>
      </c>
      <c r="O140" s="21" t="s">
        <v>27</v>
      </c>
      <c r="P140" s="20">
        <v>26159</v>
      </c>
      <c r="Q140" s="22">
        <v>46144</v>
      </c>
      <c r="R140" s="14" t="s">
        <v>33</v>
      </c>
      <c r="S140" s="23"/>
      <c r="T140" s="14" t="s">
        <v>34</v>
      </c>
      <c r="U140" s="23"/>
      <c r="V140" s="25">
        <v>94</v>
      </c>
    </row>
    <row r="141" spans="1:22" ht="26.25" thickBot="1">
      <c r="A141" s="14">
        <v>140</v>
      </c>
      <c r="B141" s="15" t="s">
        <v>409</v>
      </c>
      <c r="C141" s="16" t="s">
        <v>23</v>
      </c>
      <c r="D141" s="17">
        <v>46114</v>
      </c>
      <c r="E141" s="14" t="s">
        <v>414</v>
      </c>
      <c r="F141" s="14" t="s">
        <v>414</v>
      </c>
      <c r="G141" s="17">
        <v>46114</v>
      </c>
      <c r="H141" s="14" t="s">
        <v>415</v>
      </c>
      <c r="I141" s="14">
        <v>68</v>
      </c>
      <c r="J141" s="18">
        <v>22617</v>
      </c>
      <c r="K141" s="23"/>
      <c r="L141" s="23"/>
      <c r="M141" s="19">
        <v>1130.8599999999999</v>
      </c>
      <c r="N141" s="20">
        <v>23747.86</v>
      </c>
      <c r="O141" s="21" t="s">
        <v>27</v>
      </c>
      <c r="P141" s="20">
        <v>23748</v>
      </c>
      <c r="Q141" s="22">
        <v>46144</v>
      </c>
      <c r="R141" s="14" t="s">
        <v>33</v>
      </c>
      <c r="S141" s="23"/>
      <c r="T141" s="14" t="s">
        <v>34</v>
      </c>
      <c r="U141" s="23"/>
      <c r="V141" s="25">
        <v>94</v>
      </c>
    </row>
    <row r="142" spans="1:22" ht="26.25" thickBot="1">
      <c r="A142" s="2">
        <v>141</v>
      </c>
      <c r="B142" s="15" t="s">
        <v>409</v>
      </c>
      <c r="C142" s="16" t="s">
        <v>23</v>
      </c>
      <c r="D142" s="17">
        <v>46114</v>
      </c>
      <c r="E142" s="14" t="s">
        <v>416</v>
      </c>
      <c r="F142" s="14" t="s">
        <v>416</v>
      </c>
      <c r="G142" s="17">
        <v>46114</v>
      </c>
      <c r="H142" s="14" t="s">
        <v>417</v>
      </c>
      <c r="I142" s="14">
        <v>21</v>
      </c>
      <c r="J142" s="18">
        <v>37543</v>
      </c>
      <c r="K142" s="23"/>
      <c r="L142" s="23"/>
      <c r="M142" s="19">
        <v>1877</v>
      </c>
      <c r="N142" s="20">
        <v>39420</v>
      </c>
      <c r="O142" s="21" t="s">
        <v>27</v>
      </c>
      <c r="P142" s="20">
        <v>39420</v>
      </c>
      <c r="Q142" s="22">
        <v>46144</v>
      </c>
      <c r="R142" s="14" t="s">
        <v>33</v>
      </c>
      <c r="S142" s="23"/>
      <c r="T142" s="14" t="s">
        <v>34</v>
      </c>
      <c r="U142" s="23"/>
      <c r="V142" s="25">
        <v>94</v>
      </c>
    </row>
    <row r="143" spans="1:22" ht="26.25" thickBot="1">
      <c r="A143" s="14">
        <v>142</v>
      </c>
      <c r="B143" s="15" t="s">
        <v>409</v>
      </c>
      <c r="C143" s="16" t="s">
        <v>23</v>
      </c>
      <c r="D143" s="17">
        <v>46114</v>
      </c>
      <c r="E143" s="14" t="s">
        <v>418</v>
      </c>
      <c r="F143" s="14" t="s">
        <v>418</v>
      </c>
      <c r="G143" s="17">
        <v>46114</v>
      </c>
      <c r="H143" s="14" t="s">
        <v>419</v>
      </c>
      <c r="I143" s="14">
        <v>20</v>
      </c>
      <c r="J143" s="18">
        <v>27091</v>
      </c>
      <c r="K143" s="23"/>
      <c r="L143" s="23"/>
      <c r="M143" s="19">
        <v>1354</v>
      </c>
      <c r="N143" s="20">
        <v>28445</v>
      </c>
      <c r="O143" s="21" t="s">
        <v>27</v>
      </c>
      <c r="P143" s="20">
        <v>28445</v>
      </c>
      <c r="Q143" s="22">
        <v>46144</v>
      </c>
      <c r="R143" s="14" t="s">
        <v>33</v>
      </c>
      <c r="S143" s="23"/>
      <c r="T143" s="14" t="s">
        <v>34</v>
      </c>
      <c r="U143" s="23"/>
      <c r="V143" s="25">
        <v>94</v>
      </c>
    </row>
    <row r="144" spans="1:22" ht="26.25" thickBot="1">
      <c r="A144" s="2">
        <v>143</v>
      </c>
      <c r="B144" s="15" t="s">
        <v>409</v>
      </c>
      <c r="C144" s="16" t="s">
        <v>23</v>
      </c>
      <c r="D144" s="17">
        <v>46114</v>
      </c>
      <c r="E144" s="14" t="s">
        <v>420</v>
      </c>
      <c r="F144" s="14" t="s">
        <v>420</v>
      </c>
      <c r="G144" s="17">
        <v>46113</v>
      </c>
      <c r="H144" s="14" t="s">
        <v>421</v>
      </c>
      <c r="I144" s="14">
        <v>61</v>
      </c>
      <c r="J144" s="18">
        <v>51188</v>
      </c>
      <c r="K144" s="23"/>
      <c r="L144" s="23"/>
      <c r="M144" s="19">
        <v>2559</v>
      </c>
      <c r="N144" s="20">
        <v>53747</v>
      </c>
      <c r="O144" s="21" t="s">
        <v>27</v>
      </c>
      <c r="P144" s="20">
        <v>53747</v>
      </c>
      <c r="Q144" s="22">
        <v>46143</v>
      </c>
      <c r="R144" s="14" t="s">
        <v>33</v>
      </c>
      <c r="S144" s="23"/>
      <c r="T144" s="14" t="s">
        <v>34</v>
      </c>
      <c r="U144" s="23"/>
      <c r="V144" s="25">
        <v>95</v>
      </c>
    </row>
    <row r="145" spans="1:22" ht="26.25" thickBot="1">
      <c r="A145" s="14">
        <v>144</v>
      </c>
      <c r="B145" s="15" t="s">
        <v>409</v>
      </c>
      <c r="C145" s="16" t="s">
        <v>23</v>
      </c>
      <c r="D145" s="17">
        <v>46115</v>
      </c>
      <c r="E145" s="14" t="s">
        <v>422</v>
      </c>
      <c r="F145" s="14" t="s">
        <v>422</v>
      </c>
      <c r="G145" s="17">
        <v>46114</v>
      </c>
      <c r="H145" s="14" t="s">
        <v>423</v>
      </c>
      <c r="I145" s="14">
        <v>47</v>
      </c>
      <c r="J145" s="18">
        <v>23358</v>
      </c>
      <c r="K145" s="23"/>
      <c r="L145" s="23"/>
      <c r="M145" s="19">
        <v>1167.9000000000001</v>
      </c>
      <c r="N145" s="20">
        <v>24525.9</v>
      </c>
      <c r="O145" s="21" t="s">
        <v>27</v>
      </c>
      <c r="P145" s="20">
        <v>24526</v>
      </c>
      <c r="Q145" s="22">
        <v>46144</v>
      </c>
      <c r="R145" s="14" t="s">
        <v>33</v>
      </c>
      <c r="S145" s="23"/>
      <c r="T145" s="14" t="s">
        <v>34</v>
      </c>
      <c r="U145" s="23"/>
      <c r="V145" s="25">
        <v>94</v>
      </c>
    </row>
    <row r="146" spans="1:22" ht="26.25" thickBot="1">
      <c r="A146" s="2">
        <v>145</v>
      </c>
      <c r="B146" s="15" t="s">
        <v>409</v>
      </c>
      <c r="C146" s="16" t="s">
        <v>23</v>
      </c>
      <c r="D146" s="17">
        <v>46115</v>
      </c>
      <c r="E146" s="14" t="s">
        <v>424</v>
      </c>
      <c r="F146" s="14" t="s">
        <v>424</v>
      </c>
      <c r="G146" s="17">
        <v>46114</v>
      </c>
      <c r="H146" s="14" t="s">
        <v>425</v>
      </c>
      <c r="I146" s="14">
        <v>21</v>
      </c>
      <c r="J146" s="18">
        <v>33859</v>
      </c>
      <c r="K146" s="23"/>
      <c r="L146" s="23"/>
      <c r="M146" s="19">
        <v>1692.96</v>
      </c>
      <c r="N146" s="20">
        <v>35551.96</v>
      </c>
      <c r="O146" s="21" t="s">
        <v>27</v>
      </c>
      <c r="P146" s="20">
        <v>35552</v>
      </c>
      <c r="Q146" s="22">
        <v>46144</v>
      </c>
      <c r="R146" s="14" t="s">
        <v>33</v>
      </c>
      <c r="S146" s="23"/>
      <c r="T146" s="14" t="s">
        <v>34</v>
      </c>
      <c r="U146" s="23"/>
      <c r="V146" s="25">
        <v>94</v>
      </c>
    </row>
    <row r="147" spans="1:22" ht="26.25" thickBot="1">
      <c r="A147" s="14">
        <v>146</v>
      </c>
      <c r="B147" s="15" t="s">
        <v>409</v>
      </c>
      <c r="C147" s="16" t="s">
        <v>23</v>
      </c>
      <c r="D147" s="17">
        <v>46117</v>
      </c>
      <c r="E147" s="14" t="s">
        <v>426</v>
      </c>
      <c r="F147" s="14" t="s">
        <v>426</v>
      </c>
      <c r="G147" s="17">
        <v>46115</v>
      </c>
      <c r="H147" s="14" t="s">
        <v>427</v>
      </c>
      <c r="I147" s="14">
        <v>65</v>
      </c>
      <c r="J147" s="18">
        <v>37363</v>
      </c>
      <c r="K147" s="23"/>
      <c r="L147" s="23"/>
      <c r="M147" s="19">
        <v>1868</v>
      </c>
      <c r="N147" s="20">
        <v>39231</v>
      </c>
      <c r="O147" s="21" t="s">
        <v>27</v>
      </c>
      <c r="P147" s="20">
        <v>39231</v>
      </c>
      <c r="Q147" s="22">
        <v>46145</v>
      </c>
      <c r="R147" s="14" t="s">
        <v>33</v>
      </c>
      <c r="S147" s="23"/>
      <c r="T147" s="14" t="s">
        <v>34</v>
      </c>
      <c r="U147" s="23"/>
      <c r="V147" s="25">
        <v>93</v>
      </c>
    </row>
    <row r="148" spans="1:22" ht="26.25" thickBot="1">
      <c r="A148" s="2">
        <v>147</v>
      </c>
      <c r="B148" s="15" t="s">
        <v>409</v>
      </c>
      <c r="C148" s="16" t="s">
        <v>23</v>
      </c>
      <c r="D148" s="17">
        <v>46117</v>
      </c>
      <c r="E148" s="14" t="s">
        <v>428</v>
      </c>
      <c r="F148" s="14" t="s">
        <v>428</v>
      </c>
      <c r="G148" s="17">
        <v>46115</v>
      </c>
      <c r="H148" s="14" t="s">
        <v>429</v>
      </c>
      <c r="I148" s="14">
        <v>22</v>
      </c>
      <c r="J148" s="18">
        <v>12515</v>
      </c>
      <c r="K148" s="23"/>
      <c r="L148" s="23"/>
      <c r="M148" s="14">
        <v>625.76</v>
      </c>
      <c r="N148" s="20">
        <v>13140.76</v>
      </c>
      <c r="O148" s="21" t="s">
        <v>27</v>
      </c>
      <c r="P148" s="20">
        <v>13141</v>
      </c>
      <c r="Q148" s="22">
        <v>46145</v>
      </c>
      <c r="R148" s="14" t="s">
        <v>33</v>
      </c>
      <c r="S148" s="23"/>
      <c r="T148" s="14" t="s">
        <v>34</v>
      </c>
      <c r="U148" s="23"/>
      <c r="V148" s="25">
        <v>93</v>
      </c>
    </row>
    <row r="149" spans="1:22" ht="26.25" thickBot="1">
      <c r="A149" s="14">
        <v>148</v>
      </c>
      <c r="B149" s="15" t="s">
        <v>409</v>
      </c>
      <c r="C149" s="16" t="s">
        <v>23</v>
      </c>
      <c r="D149" s="17">
        <v>46144</v>
      </c>
      <c r="E149" s="14" t="s">
        <v>430</v>
      </c>
      <c r="F149" s="14" t="s">
        <v>430</v>
      </c>
      <c r="G149" s="17">
        <v>46144</v>
      </c>
      <c r="H149" s="14" t="s">
        <v>431</v>
      </c>
      <c r="I149" s="14">
        <v>59</v>
      </c>
      <c r="J149" s="18">
        <v>77687</v>
      </c>
      <c r="K149" s="14">
        <v>118</v>
      </c>
      <c r="L149" s="23"/>
      <c r="M149" s="19">
        <v>3890.3</v>
      </c>
      <c r="N149" s="20">
        <v>81695.3</v>
      </c>
      <c r="O149" s="21" t="s">
        <v>27</v>
      </c>
      <c r="P149" s="20">
        <v>81695</v>
      </c>
      <c r="Q149" s="22">
        <v>46174</v>
      </c>
      <c r="R149" s="14" t="s">
        <v>33</v>
      </c>
      <c r="S149" s="23"/>
      <c r="T149" s="14" t="s">
        <v>34</v>
      </c>
      <c r="U149" s="23"/>
      <c r="V149" s="25">
        <v>64</v>
      </c>
    </row>
    <row r="150" spans="1:22" ht="26.25" thickBot="1">
      <c r="A150" s="2">
        <v>149</v>
      </c>
      <c r="B150" s="15" t="s">
        <v>409</v>
      </c>
      <c r="C150" s="16" t="s">
        <v>23</v>
      </c>
      <c r="D150" s="17">
        <v>46144</v>
      </c>
      <c r="E150" s="14" t="s">
        <v>432</v>
      </c>
      <c r="F150" s="14" t="s">
        <v>432</v>
      </c>
      <c r="G150" s="17">
        <v>46144</v>
      </c>
      <c r="H150" s="14" t="s">
        <v>433</v>
      </c>
      <c r="I150" s="14">
        <v>58</v>
      </c>
      <c r="J150" s="18">
        <v>63266</v>
      </c>
      <c r="K150" s="14">
        <v>117</v>
      </c>
      <c r="L150" s="23"/>
      <c r="M150" s="19">
        <v>3169.16</v>
      </c>
      <c r="N150" s="20">
        <v>66552.160000000003</v>
      </c>
      <c r="O150" s="21" t="s">
        <v>27</v>
      </c>
      <c r="P150" s="20">
        <v>66552</v>
      </c>
      <c r="Q150" s="22">
        <v>46174</v>
      </c>
      <c r="R150" s="14" t="s">
        <v>33</v>
      </c>
      <c r="S150" s="23"/>
      <c r="T150" s="14" t="s">
        <v>34</v>
      </c>
      <c r="U150" s="23"/>
      <c r="V150" s="25">
        <v>64</v>
      </c>
    </row>
    <row r="151" spans="1:22" ht="26.25" thickBot="1">
      <c r="A151" s="14">
        <v>150</v>
      </c>
      <c r="B151" s="15" t="s">
        <v>409</v>
      </c>
      <c r="C151" s="16" t="s">
        <v>23</v>
      </c>
      <c r="D151" s="17">
        <v>46144</v>
      </c>
      <c r="E151" s="14" t="s">
        <v>434</v>
      </c>
      <c r="F151" s="14" t="s">
        <v>434</v>
      </c>
      <c r="G151" s="17">
        <v>46144</v>
      </c>
      <c r="H151" s="14" t="s">
        <v>435</v>
      </c>
      <c r="I151" s="14">
        <v>61</v>
      </c>
      <c r="J151" s="18">
        <v>57015</v>
      </c>
      <c r="K151" s="14">
        <v>123</v>
      </c>
      <c r="L151" s="23"/>
      <c r="M151" s="19">
        <v>2856.9</v>
      </c>
      <c r="N151" s="20">
        <v>59994.9</v>
      </c>
      <c r="O151" s="21" t="s">
        <v>27</v>
      </c>
      <c r="P151" s="20">
        <v>59995</v>
      </c>
      <c r="Q151" s="22">
        <v>46174</v>
      </c>
      <c r="R151" s="14" t="s">
        <v>33</v>
      </c>
      <c r="S151" s="23"/>
      <c r="T151" s="14" t="s">
        <v>34</v>
      </c>
      <c r="U151" s="23"/>
      <c r="V151" s="25">
        <v>64</v>
      </c>
    </row>
    <row r="152" spans="1:22" ht="26.25" thickBot="1">
      <c r="A152" s="2">
        <v>151</v>
      </c>
      <c r="B152" s="15" t="s">
        <v>409</v>
      </c>
      <c r="C152" s="16" t="s">
        <v>23</v>
      </c>
      <c r="D152" s="17">
        <v>46144</v>
      </c>
      <c r="E152" s="14" t="s">
        <v>436</v>
      </c>
      <c r="F152" s="14" t="s">
        <v>436</v>
      </c>
      <c r="G152" s="17">
        <v>46144</v>
      </c>
      <c r="H152" s="14" t="s">
        <v>437</v>
      </c>
      <c r="I152" s="14">
        <v>18</v>
      </c>
      <c r="J152" s="18">
        <v>14638</v>
      </c>
      <c r="K152" s="14">
        <v>37</v>
      </c>
      <c r="L152" s="23"/>
      <c r="M152" s="14">
        <v>733.76</v>
      </c>
      <c r="N152" s="20">
        <v>15408.76</v>
      </c>
      <c r="O152" s="21" t="s">
        <v>27</v>
      </c>
      <c r="P152" s="20">
        <v>15409</v>
      </c>
      <c r="Q152" s="22">
        <v>46174</v>
      </c>
      <c r="R152" s="14" t="s">
        <v>33</v>
      </c>
      <c r="S152" s="23"/>
      <c r="T152" s="14" t="s">
        <v>34</v>
      </c>
      <c r="U152" s="23"/>
      <c r="V152" s="25">
        <v>64</v>
      </c>
    </row>
    <row r="153" spans="1:22" ht="26.25" thickBot="1">
      <c r="A153" s="14">
        <v>152</v>
      </c>
      <c r="B153" s="15" t="s">
        <v>409</v>
      </c>
      <c r="C153" s="16" t="s">
        <v>23</v>
      </c>
      <c r="D153" s="17">
        <v>46144</v>
      </c>
      <c r="E153" s="14" t="s">
        <v>438</v>
      </c>
      <c r="F153" s="14" t="s">
        <v>438</v>
      </c>
      <c r="G153" s="17">
        <v>46144</v>
      </c>
      <c r="H153" s="14" t="s">
        <v>439</v>
      </c>
      <c r="I153" s="14">
        <v>20</v>
      </c>
      <c r="J153" s="18">
        <v>13315</v>
      </c>
      <c r="K153" s="14">
        <v>41</v>
      </c>
      <c r="L153" s="23"/>
      <c r="M153" s="14">
        <v>667.8</v>
      </c>
      <c r="N153" s="20">
        <v>14024</v>
      </c>
      <c r="O153" s="21" t="s">
        <v>27</v>
      </c>
      <c r="P153" s="20">
        <v>14024</v>
      </c>
      <c r="Q153" s="22">
        <v>46174</v>
      </c>
      <c r="R153" s="14" t="s">
        <v>33</v>
      </c>
      <c r="S153" s="23"/>
      <c r="T153" s="14" t="s">
        <v>34</v>
      </c>
      <c r="U153" s="23"/>
      <c r="V153" s="25">
        <v>64</v>
      </c>
    </row>
    <row r="154" spans="1:22" ht="26.25" thickBot="1">
      <c r="A154" s="2">
        <v>153</v>
      </c>
      <c r="B154" s="15" t="s">
        <v>409</v>
      </c>
      <c r="C154" s="16" t="s">
        <v>23</v>
      </c>
      <c r="D154" s="17">
        <v>46147</v>
      </c>
      <c r="E154" s="14" t="s">
        <v>440</v>
      </c>
      <c r="F154" s="14" t="s">
        <v>440</v>
      </c>
      <c r="G154" s="17">
        <v>46144</v>
      </c>
      <c r="H154" s="14" t="s">
        <v>441</v>
      </c>
      <c r="I154" s="14">
        <v>28</v>
      </c>
      <c r="J154" s="18">
        <v>13072</v>
      </c>
      <c r="K154" s="14">
        <v>57</v>
      </c>
      <c r="L154" s="23"/>
      <c r="M154" s="14">
        <v>656.43</v>
      </c>
      <c r="N154" s="20">
        <v>13785.43</v>
      </c>
      <c r="O154" s="21" t="s">
        <v>27</v>
      </c>
      <c r="P154" s="20">
        <v>13785</v>
      </c>
      <c r="Q154" s="22">
        <v>46174</v>
      </c>
      <c r="R154" s="14" t="s">
        <v>33</v>
      </c>
      <c r="S154" s="23"/>
      <c r="T154" s="14" t="s">
        <v>34</v>
      </c>
      <c r="U154" s="23"/>
      <c r="V154" s="25">
        <v>64</v>
      </c>
    </row>
    <row r="155" spans="1:22" ht="26.25" thickBot="1">
      <c r="A155" s="14">
        <v>154</v>
      </c>
      <c r="B155" s="15" t="s">
        <v>409</v>
      </c>
      <c r="C155" s="16" t="s">
        <v>23</v>
      </c>
      <c r="D155" s="17">
        <v>46153</v>
      </c>
      <c r="E155" s="14" t="s">
        <v>442</v>
      </c>
      <c r="F155" s="14" t="s">
        <v>442</v>
      </c>
      <c r="G155" s="17">
        <v>46153</v>
      </c>
      <c r="H155" s="14" t="s">
        <v>443</v>
      </c>
      <c r="I155" s="14">
        <v>20</v>
      </c>
      <c r="J155" s="18">
        <v>8523</v>
      </c>
      <c r="K155" s="23"/>
      <c r="L155" s="23"/>
      <c r="M155" s="14">
        <v>426.16</v>
      </c>
      <c r="N155" s="20">
        <v>8949.16</v>
      </c>
      <c r="O155" s="21" t="s">
        <v>27</v>
      </c>
      <c r="P155" s="20">
        <v>8949</v>
      </c>
      <c r="Q155" s="22">
        <v>46183</v>
      </c>
      <c r="R155" s="14" t="s">
        <v>33</v>
      </c>
      <c r="S155" s="23"/>
      <c r="T155" s="14" t="s">
        <v>34</v>
      </c>
      <c r="U155" s="23"/>
      <c r="V155" s="25">
        <v>55</v>
      </c>
    </row>
    <row r="156" spans="1:22" ht="26.25" thickBot="1">
      <c r="A156" s="2">
        <v>155</v>
      </c>
      <c r="B156" s="15" t="s">
        <v>444</v>
      </c>
      <c r="C156" s="16" t="s">
        <v>23</v>
      </c>
      <c r="D156" s="17">
        <v>46155</v>
      </c>
      <c r="E156" s="14" t="s">
        <v>445</v>
      </c>
      <c r="F156" s="14" t="s">
        <v>445</v>
      </c>
      <c r="G156" s="17">
        <v>46147</v>
      </c>
      <c r="H156" s="14" t="s">
        <v>446</v>
      </c>
      <c r="I156" s="23"/>
      <c r="J156" s="18">
        <v>9789</v>
      </c>
      <c r="K156" s="14">
        <v>1</v>
      </c>
      <c r="L156" s="23"/>
      <c r="M156" s="14">
        <v>489.5</v>
      </c>
      <c r="N156" s="20">
        <v>10279.5</v>
      </c>
      <c r="O156" s="21" t="s">
        <v>27</v>
      </c>
      <c r="P156" s="20">
        <v>10280</v>
      </c>
      <c r="Q156" s="22">
        <v>46177</v>
      </c>
      <c r="R156" s="14" t="s">
        <v>33</v>
      </c>
      <c r="S156" s="23"/>
      <c r="T156" s="14" t="s">
        <v>34</v>
      </c>
      <c r="U156" s="23"/>
      <c r="V156" s="25">
        <f t="shared" ref="V156:V157" ca="1" si="12">TODAY()-G156</f>
        <v>61</v>
      </c>
    </row>
    <row r="157" spans="1:22" ht="26.25" thickBot="1">
      <c r="A157" s="14">
        <v>156</v>
      </c>
      <c r="B157" s="15" t="s">
        <v>447</v>
      </c>
      <c r="C157" s="16" t="s">
        <v>23</v>
      </c>
      <c r="D157" s="17">
        <v>46143</v>
      </c>
      <c r="E157" s="14" t="s">
        <v>448</v>
      </c>
      <c r="F157" s="14" t="s">
        <v>448</v>
      </c>
      <c r="G157" s="17">
        <v>46128</v>
      </c>
      <c r="H157" s="14" t="s">
        <v>449</v>
      </c>
      <c r="I157" s="14">
        <v>35</v>
      </c>
      <c r="J157" s="18">
        <v>57125</v>
      </c>
      <c r="K157" s="23"/>
      <c r="L157" s="23"/>
      <c r="M157" s="19">
        <v>2856.25</v>
      </c>
      <c r="N157" s="20">
        <v>59981.25</v>
      </c>
      <c r="O157" s="21" t="s">
        <v>27</v>
      </c>
      <c r="P157" s="20">
        <v>59981</v>
      </c>
      <c r="Q157" s="22">
        <v>46158</v>
      </c>
      <c r="R157" s="14" t="s">
        <v>33</v>
      </c>
      <c r="S157" s="23"/>
      <c r="T157" s="14" t="s">
        <v>34</v>
      </c>
      <c r="U157" s="23"/>
      <c r="V157" s="25">
        <f t="shared" ca="1" si="12"/>
        <v>80</v>
      </c>
    </row>
    <row r="158" spans="1:22" ht="26.25" thickBot="1">
      <c r="A158" s="2">
        <v>157</v>
      </c>
      <c r="B158" s="15" t="s">
        <v>450</v>
      </c>
      <c r="C158" s="16" t="s">
        <v>23</v>
      </c>
      <c r="D158" s="17">
        <v>46091</v>
      </c>
      <c r="E158" s="14" t="s">
        <v>451</v>
      </c>
      <c r="F158" s="14" t="s">
        <v>452</v>
      </c>
      <c r="G158" s="17">
        <v>46080</v>
      </c>
      <c r="H158" s="14" t="s">
        <v>453</v>
      </c>
      <c r="I158" s="14">
        <v>59</v>
      </c>
      <c r="J158" s="18">
        <v>24904.74</v>
      </c>
      <c r="K158" s="14" t="s">
        <v>27</v>
      </c>
      <c r="L158" s="14" t="s">
        <v>27</v>
      </c>
      <c r="M158" s="19">
        <v>1245.26</v>
      </c>
      <c r="N158" s="20">
        <v>26150</v>
      </c>
      <c r="O158" s="21" t="s">
        <v>27</v>
      </c>
      <c r="P158" s="20">
        <v>26150</v>
      </c>
      <c r="Q158" s="22">
        <v>46110</v>
      </c>
      <c r="R158" s="14" t="s">
        <v>28</v>
      </c>
      <c r="S158" s="23"/>
      <c r="T158" s="14" t="s">
        <v>34</v>
      </c>
      <c r="U158" s="23"/>
      <c r="V158" s="25">
        <v>128</v>
      </c>
    </row>
    <row r="159" spans="1:22" ht="26.25" thickBot="1">
      <c r="A159" s="14">
        <v>158</v>
      </c>
      <c r="B159" s="15" t="s">
        <v>450</v>
      </c>
      <c r="C159" s="16" t="s">
        <v>23</v>
      </c>
      <c r="D159" s="17">
        <v>46112</v>
      </c>
      <c r="E159" s="14" t="s">
        <v>454</v>
      </c>
      <c r="F159" s="14" t="s">
        <v>455</v>
      </c>
      <c r="G159" s="17">
        <v>46107</v>
      </c>
      <c r="H159" s="14" t="s">
        <v>456</v>
      </c>
      <c r="I159" s="14">
        <v>163</v>
      </c>
      <c r="J159" s="18">
        <v>90521.74</v>
      </c>
      <c r="K159" s="14" t="s">
        <v>27</v>
      </c>
      <c r="L159" s="14" t="s">
        <v>27</v>
      </c>
      <c r="M159" s="19">
        <v>4526.26</v>
      </c>
      <c r="N159" s="20">
        <v>95048</v>
      </c>
      <c r="O159" s="21" t="s">
        <v>27</v>
      </c>
      <c r="P159" s="20">
        <v>95048</v>
      </c>
      <c r="Q159" s="22">
        <v>46137</v>
      </c>
      <c r="R159" s="14" t="s">
        <v>33</v>
      </c>
      <c r="S159" s="23"/>
      <c r="T159" s="14" t="s">
        <v>34</v>
      </c>
      <c r="U159" s="23"/>
      <c r="V159" s="25">
        <v>101</v>
      </c>
    </row>
    <row r="160" spans="1:22" ht="26.25" thickBot="1">
      <c r="A160" s="2">
        <v>159</v>
      </c>
      <c r="B160" s="15" t="s">
        <v>450</v>
      </c>
      <c r="C160" s="16" t="s">
        <v>23</v>
      </c>
      <c r="D160" s="17">
        <v>46154</v>
      </c>
      <c r="E160" s="14" t="s">
        <v>457</v>
      </c>
      <c r="F160" s="14" t="s">
        <v>457</v>
      </c>
      <c r="G160" s="17">
        <v>46129</v>
      </c>
      <c r="H160" s="14" t="s">
        <v>458</v>
      </c>
      <c r="I160" s="14">
        <v>76</v>
      </c>
      <c r="J160" s="18">
        <v>51539</v>
      </c>
      <c r="K160" s="23"/>
      <c r="L160" s="23"/>
      <c r="M160" s="19">
        <v>2577.2199999999998</v>
      </c>
      <c r="N160" s="20">
        <v>54116.22</v>
      </c>
      <c r="O160" s="21" t="s">
        <v>27</v>
      </c>
      <c r="P160" s="20">
        <v>54116</v>
      </c>
      <c r="Q160" s="22">
        <v>46159</v>
      </c>
      <c r="R160" s="14" t="s">
        <v>33</v>
      </c>
      <c r="S160" s="23"/>
      <c r="T160" s="14" t="s">
        <v>34</v>
      </c>
      <c r="U160" s="23"/>
      <c r="V160" s="25">
        <v>79</v>
      </c>
    </row>
    <row r="161" spans="1:22" ht="26.25" thickBot="1">
      <c r="A161" s="14">
        <v>160</v>
      </c>
      <c r="B161" s="15" t="s">
        <v>459</v>
      </c>
      <c r="C161" s="16" t="s">
        <v>23</v>
      </c>
      <c r="D161" s="17">
        <v>46047</v>
      </c>
      <c r="E161" s="14" t="s">
        <v>460</v>
      </c>
      <c r="F161" s="14" t="s">
        <v>461</v>
      </c>
      <c r="G161" s="17">
        <v>46041</v>
      </c>
      <c r="H161" s="14">
        <v>2620</v>
      </c>
      <c r="I161" s="14">
        <v>74</v>
      </c>
      <c r="J161" s="18">
        <v>68190</v>
      </c>
      <c r="K161" s="14" t="s">
        <v>27</v>
      </c>
      <c r="L161" s="14" t="s">
        <v>27</v>
      </c>
      <c r="M161" s="19">
        <v>3409.5</v>
      </c>
      <c r="N161" s="20">
        <v>71599.5</v>
      </c>
      <c r="O161" s="21" t="s">
        <v>27</v>
      </c>
      <c r="P161" s="20">
        <v>71600</v>
      </c>
      <c r="Q161" s="22">
        <v>46071</v>
      </c>
      <c r="R161" s="14" t="s">
        <v>33</v>
      </c>
      <c r="S161" s="23"/>
      <c r="T161" s="14" t="s">
        <v>34</v>
      </c>
      <c r="U161" s="23"/>
      <c r="V161" s="25">
        <f t="shared" ref="V161:V162" ca="1" si="13">TODAY()-G161</f>
        <v>167</v>
      </c>
    </row>
    <row r="162" spans="1:22" ht="26.25" thickBot="1">
      <c r="A162" s="2">
        <v>161</v>
      </c>
      <c r="B162" s="15" t="s">
        <v>459</v>
      </c>
      <c r="C162" s="16" t="s">
        <v>23</v>
      </c>
      <c r="D162" s="17">
        <v>46047</v>
      </c>
      <c r="E162" s="14" t="s">
        <v>462</v>
      </c>
      <c r="F162" s="14" t="s">
        <v>463</v>
      </c>
      <c r="G162" s="17">
        <v>46041</v>
      </c>
      <c r="H162" s="14">
        <v>2619</v>
      </c>
      <c r="I162" s="14">
        <v>59</v>
      </c>
      <c r="J162" s="18">
        <v>53725</v>
      </c>
      <c r="K162" s="14" t="s">
        <v>27</v>
      </c>
      <c r="L162" s="14" t="s">
        <v>27</v>
      </c>
      <c r="M162" s="19">
        <v>2686.25</v>
      </c>
      <c r="N162" s="20">
        <v>56411.25</v>
      </c>
      <c r="O162" s="21" t="s">
        <v>27</v>
      </c>
      <c r="P162" s="20">
        <v>56411</v>
      </c>
      <c r="Q162" s="22">
        <v>46071</v>
      </c>
      <c r="R162" s="14" t="s">
        <v>33</v>
      </c>
      <c r="S162" s="23"/>
      <c r="T162" s="14" t="s">
        <v>34</v>
      </c>
      <c r="U162" s="23"/>
      <c r="V162" s="25">
        <f t="shared" ca="1" si="13"/>
        <v>167</v>
      </c>
    </row>
    <row r="163" spans="1:22" ht="26.25" thickBot="1">
      <c r="A163" s="14">
        <v>162</v>
      </c>
      <c r="B163" s="15" t="s">
        <v>464</v>
      </c>
      <c r="C163" s="16" t="s">
        <v>23</v>
      </c>
      <c r="D163" s="17">
        <v>45720</v>
      </c>
      <c r="E163" s="14" t="s">
        <v>465</v>
      </c>
      <c r="F163" s="14" t="s">
        <v>466</v>
      </c>
      <c r="G163" s="17">
        <v>45720</v>
      </c>
      <c r="H163" s="14" t="s">
        <v>467</v>
      </c>
      <c r="I163" s="14">
        <v>35</v>
      </c>
      <c r="J163" s="18">
        <v>65695</v>
      </c>
      <c r="K163" s="14" t="s">
        <v>27</v>
      </c>
      <c r="L163" s="14">
        <v>1</v>
      </c>
      <c r="M163" s="19">
        <v>3284.75</v>
      </c>
      <c r="N163" s="20">
        <v>68978.75</v>
      </c>
      <c r="O163" s="21" t="s">
        <v>27</v>
      </c>
      <c r="P163" s="20">
        <v>68979</v>
      </c>
      <c r="Q163" s="22">
        <v>45750</v>
      </c>
      <c r="R163" s="14" t="s">
        <v>28</v>
      </c>
      <c r="S163" s="22">
        <v>45792</v>
      </c>
      <c r="T163" s="14" t="s">
        <v>468</v>
      </c>
      <c r="U163" s="23"/>
      <c r="V163" s="25">
        <v>488</v>
      </c>
    </row>
    <row r="164" spans="1:22" ht="26.25" thickBot="1">
      <c r="A164" s="2">
        <v>163</v>
      </c>
      <c r="B164" s="15" t="s">
        <v>464</v>
      </c>
      <c r="C164" s="16" t="s">
        <v>23</v>
      </c>
      <c r="D164" s="17">
        <v>45801</v>
      </c>
      <c r="E164" s="14" t="s">
        <v>469</v>
      </c>
      <c r="F164" s="14" t="s">
        <v>470</v>
      </c>
      <c r="G164" s="17">
        <v>45793</v>
      </c>
      <c r="H164" s="14" t="s">
        <v>471</v>
      </c>
      <c r="I164" s="14">
        <v>42</v>
      </c>
      <c r="J164" s="18">
        <v>82200</v>
      </c>
      <c r="K164" s="14" t="s">
        <v>27</v>
      </c>
      <c r="L164" s="14" t="s">
        <v>27</v>
      </c>
      <c r="M164" s="19">
        <v>4110</v>
      </c>
      <c r="N164" s="20">
        <v>86310</v>
      </c>
      <c r="O164" s="21" t="s">
        <v>27</v>
      </c>
      <c r="P164" s="20">
        <v>86310</v>
      </c>
      <c r="Q164" s="22">
        <v>45823</v>
      </c>
      <c r="R164" s="14" t="s">
        <v>33</v>
      </c>
      <c r="S164" s="23"/>
      <c r="T164" s="14" t="s">
        <v>34</v>
      </c>
      <c r="U164" s="23"/>
      <c r="V164" s="25">
        <v>415</v>
      </c>
    </row>
  </sheetData>
  <autoFilter ref="A1:V16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2:L234"/>
  <sheetViews>
    <sheetView tabSelected="1" topLeftCell="A206" workbookViewId="0">
      <selection activeCell="F66" sqref="F66"/>
    </sheetView>
  </sheetViews>
  <sheetFormatPr defaultRowHeight="15"/>
  <cols>
    <col min="1" max="1" width="24.7109375" customWidth="1"/>
    <col min="2" max="2" width="14.42578125" customWidth="1"/>
    <col min="3" max="3" width="11.7109375" bestFit="1" customWidth="1"/>
    <col min="4" max="4" width="18.5703125" customWidth="1"/>
    <col min="9" max="9" width="9.140625" style="59"/>
    <col min="10" max="11" width="11.7109375" style="59" bestFit="1" customWidth="1"/>
    <col min="12" max="12" width="10.140625" style="59" bestFit="1" customWidth="1"/>
  </cols>
  <sheetData>
    <row r="2" spans="1:12" ht="20.25">
      <c r="A2" s="41" t="s">
        <v>472</v>
      </c>
      <c r="B2" s="42"/>
      <c r="C2" s="42"/>
      <c r="D2" s="42"/>
      <c r="I2" s="68"/>
      <c r="J2" s="69"/>
      <c r="K2" s="69"/>
      <c r="L2" s="69"/>
    </row>
    <row r="3" spans="1:12" ht="45">
      <c r="A3" s="43" t="s">
        <v>1</v>
      </c>
      <c r="B3" s="44" t="s">
        <v>473</v>
      </c>
      <c r="C3" s="44" t="s">
        <v>474</v>
      </c>
      <c r="D3" s="44" t="s">
        <v>475</v>
      </c>
      <c r="I3" s="70"/>
      <c r="J3" s="71"/>
      <c r="K3" s="71"/>
      <c r="L3" s="71"/>
    </row>
    <row r="4" spans="1:12" ht="15.75" hidden="1" thickBot="1">
      <c r="A4" s="31" t="s">
        <v>476</v>
      </c>
      <c r="B4" s="32">
        <v>163034</v>
      </c>
      <c r="C4" s="33">
        <v>163034</v>
      </c>
      <c r="D4" s="34" t="s">
        <v>27</v>
      </c>
      <c r="I4" s="60"/>
      <c r="J4" s="61"/>
      <c r="K4" s="62"/>
      <c r="L4" s="63"/>
    </row>
    <row r="5" spans="1:12" ht="15.75" hidden="1" thickBot="1">
      <c r="A5" s="31" t="s">
        <v>477</v>
      </c>
      <c r="B5" s="32">
        <v>139745</v>
      </c>
      <c r="C5" s="33">
        <v>139745</v>
      </c>
      <c r="D5" s="34" t="s">
        <v>27</v>
      </c>
      <c r="I5" s="60"/>
      <c r="J5" s="61"/>
      <c r="K5" s="62"/>
      <c r="L5" s="63"/>
    </row>
    <row r="6" spans="1:12" ht="15.75" hidden="1" thickBot="1">
      <c r="A6" s="31" t="s">
        <v>478</v>
      </c>
      <c r="B6" s="32">
        <v>178487</v>
      </c>
      <c r="C6" s="33">
        <v>178487</v>
      </c>
      <c r="D6" s="34" t="s">
        <v>27</v>
      </c>
      <c r="I6" s="60"/>
      <c r="J6" s="61"/>
      <c r="K6" s="62"/>
      <c r="L6" s="63"/>
    </row>
    <row r="7" spans="1:12" ht="25.5" hidden="1">
      <c r="A7" s="72" t="s">
        <v>479</v>
      </c>
      <c r="B7" s="53">
        <v>2593719</v>
      </c>
      <c r="C7" s="54">
        <v>2593719</v>
      </c>
      <c r="D7" s="73" t="s">
        <v>27</v>
      </c>
      <c r="I7" s="60"/>
      <c r="J7" s="61"/>
      <c r="K7" s="62"/>
      <c r="L7" s="63"/>
    </row>
    <row r="8" spans="1:12">
      <c r="A8" s="45" t="s">
        <v>22</v>
      </c>
      <c r="B8" s="46">
        <v>271888</v>
      </c>
      <c r="C8" s="47">
        <v>252433</v>
      </c>
      <c r="D8" s="47">
        <v>19455</v>
      </c>
      <c r="I8" s="60"/>
      <c r="J8" s="61"/>
      <c r="K8" s="62"/>
      <c r="L8" s="62"/>
    </row>
    <row r="9" spans="1:12">
      <c r="A9" s="45" t="s">
        <v>30</v>
      </c>
      <c r="B9" s="46">
        <v>168296</v>
      </c>
      <c r="C9" s="47">
        <v>40667</v>
      </c>
      <c r="D9" s="47">
        <v>127629</v>
      </c>
      <c r="I9" s="60"/>
      <c r="J9" s="61"/>
      <c r="K9" s="62"/>
      <c r="L9" s="62"/>
    </row>
    <row r="10" spans="1:12" ht="15.75" hidden="1" thickBot="1">
      <c r="A10" s="31" t="s">
        <v>480</v>
      </c>
      <c r="B10" s="32">
        <v>333458</v>
      </c>
      <c r="C10" s="33">
        <v>335960</v>
      </c>
      <c r="D10" s="35">
        <v>-2502</v>
      </c>
      <c r="I10" s="60"/>
      <c r="J10" s="61"/>
      <c r="K10" s="62"/>
      <c r="L10" s="62"/>
    </row>
    <row r="11" spans="1:12" ht="25.5" hidden="1">
      <c r="A11" s="72" t="s">
        <v>481</v>
      </c>
      <c r="B11" s="53">
        <v>115555</v>
      </c>
      <c r="C11" s="54">
        <v>115555</v>
      </c>
      <c r="D11" s="73" t="s">
        <v>27</v>
      </c>
      <c r="I11" s="60"/>
      <c r="J11" s="61"/>
      <c r="K11" s="62"/>
      <c r="L11" s="63"/>
    </row>
    <row r="12" spans="1:12">
      <c r="A12" s="45" t="s">
        <v>41</v>
      </c>
      <c r="B12" s="46">
        <v>315680</v>
      </c>
      <c r="C12" s="47">
        <v>216665</v>
      </c>
      <c r="D12" s="47">
        <v>99015</v>
      </c>
      <c r="I12" s="60"/>
      <c r="J12" s="61"/>
      <c r="K12" s="62"/>
      <c r="L12" s="62"/>
    </row>
    <row r="13" spans="1:12" hidden="1">
      <c r="A13" s="72" t="s">
        <v>482</v>
      </c>
      <c r="B13" s="53">
        <v>71269</v>
      </c>
      <c r="C13" s="54">
        <v>71289</v>
      </c>
      <c r="D13" s="73">
        <v>-20</v>
      </c>
      <c r="I13" s="60"/>
      <c r="J13" s="61"/>
      <c r="K13" s="62"/>
      <c r="L13" s="63"/>
    </row>
    <row r="14" spans="1:12">
      <c r="A14" s="45" t="s">
        <v>483</v>
      </c>
      <c r="B14" s="46">
        <v>1177717</v>
      </c>
      <c r="C14" s="47">
        <v>977717</v>
      </c>
      <c r="D14" s="47">
        <v>200000</v>
      </c>
      <c r="I14" s="60"/>
      <c r="J14" s="61"/>
      <c r="K14" s="62"/>
      <c r="L14" s="62"/>
    </row>
    <row r="15" spans="1:12" ht="25.5">
      <c r="A15" s="45" t="s">
        <v>44</v>
      </c>
      <c r="B15" s="49" t="s">
        <v>484</v>
      </c>
      <c r="C15" s="48" t="s">
        <v>34</v>
      </c>
      <c r="D15" s="48" t="s">
        <v>484</v>
      </c>
      <c r="I15" s="60"/>
      <c r="J15" s="64"/>
      <c r="K15" s="63"/>
      <c r="L15" s="63"/>
    </row>
    <row r="16" spans="1:12" ht="26.25" hidden="1" thickBot="1">
      <c r="A16" s="31" t="s">
        <v>485</v>
      </c>
      <c r="B16" s="36" t="s">
        <v>486</v>
      </c>
      <c r="C16" s="37" t="s">
        <v>487</v>
      </c>
      <c r="D16" s="34" t="s">
        <v>488</v>
      </c>
      <c r="I16" s="60"/>
      <c r="J16" s="64"/>
      <c r="K16" s="63"/>
      <c r="L16" s="63"/>
    </row>
    <row r="17" spans="1:12" ht="15.75" hidden="1" thickBot="1">
      <c r="A17" s="31" t="s">
        <v>489</v>
      </c>
      <c r="B17" s="36" t="s">
        <v>490</v>
      </c>
      <c r="C17" s="37" t="s">
        <v>491</v>
      </c>
      <c r="D17" s="34" t="s">
        <v>492</v>
      </c>
      <c r="I17" s="60"/>
      <c r="J17" s="64"/>
      <c r="K17" s="63"/>
      <c r="L17" s="63"/>
    </row>
    <row r="18" spans="1:12" ht="15.75" hidden="1" thickBot="1">
      <c r="A18" s="31" t="s">
        <v>493</v>
      </c>
      <c r="B18" s="36" t="s">
        <v>494</v>
      </c>
      <c r="C18" s="37" t="s">
        <v>494</v>
      </c>
      <c r="D18" s="34" t="s">
        <v>34</v>
      </c>
      <c r="I18" s="60"/>
      <c r="J18" s="64"/>
      <c r="K18" s="63"/>
      <c r="L18" s="63"/>
    </row>
    <row r="19" spans="1:12" ht="15.75" hidden="1" thickBot="1">
      <c r="A19" s="31" t="s">
        <v>495</v>
      </c>
      <c r="B19" s="36" t="s">
        <v>496</v>
      </c>
      <c r="C19" s="37" t="s">
        <v>496</v>
      </c>
      <c r="D19" s="34" t="s">
        <v>34</v>
      </c>
      <c r="I19" s="60"/>
      <c r="J19" s="64"/>
      <c r="K19" s="63"/>
      <c r="L19" s="63"/>
    </row>
    <row r="20" spans="1:12" ht="15.75" hidden="1" thickBot="1">
      <c r="A20" s="31" t="s">
        <v>497</v>
      </c>
      <c r="B20" s="36" t="s">
        <v>498</v>
      </c>
      <c r="C20" s="37" t="s">
        <v>498</v>
      </c>
      <c r="D20" s="34" t="s">
        <v>34</v>
      </c>
      <c r="I20" s="60"/>
      <c r="J20" s="64"/>
      <c r="K20" s="63"/>
      <c r="L20" s="63"/>
    </row>
    <row r="21" spans="1:12" ht="15.75" hidden="1" thickBot="1">
      <c r="A21" s="31" t="s">
        <v>499</v>
      </c>
      <c r="B21" s="36" t="s">
        <v>500</v>
      </c>
      <c r="C21" s="37" t="s">
        <v>500</v>
      </c>
      <c r="D21" s="34" t="s">
        <v>34</v>
      </c>
      <c r="I21" s="60"/>
      <c r="J21" s="64"/>
      <c r="K21" s="63"/>
      <c r="L21" s="63"/>
    </row>
    <row r="22" spans="1:12" ht="15.75" hidden="1" thickBot="1">
      <c r="A22" s="31" t="s">
        <v>501</v>
      </c>
      <c r="B22" s="36" t="s">
        <v>502</v>
      </c>
      <c r="C22" s="37" t="s">
        <v>502</v>
      </c>
      <c r="D22" s="34" t="s">
        <v>34</v>
      </c>
      <c r="I22" s="60"/>
      <c r="J22" s="64"/>
      <c r="K22" s="63"/>
      <c r="L22" s="63"/>
    </row>
    <row r="23" spans="1:12" ht="15.75" hidden="1" thickBot="1">
      <c r="A23" s="31" t="s">
        <v>503</v>
      </c>
      <c r="B23" s="36" t="s">
        <v>504</v>
      </c>
      <c r="C23" s="37" t="s">
        <v>504</v>
      </c>
      <c r="D23" s="34" t="s">
        <v>34</v>
      </c>
      <c r="I23" s="60"/>
      <c r="J23" s="64"/>
      <c r="K23" s="63"/>
      <c r="L23" s="63"/>
    </row>
    <row r="24" spans="1:12" ht="15.75" hidden="1" thickBot="1">
      <c r="A24" s="31" t="s">
        <v>505</v>
      </c>
      <c r="B24" s="36" t="s">
        <v>506</v>
      </c>
      <c r="C24" s="37" t="s">
        <v>506</v>
      </c>
      <c r="D24" s="34" t="s">
        <v>34</v>
      </c>
      <c r="I24" s="60"/>
      <c r="J24" s="64"/>
      <c r="K24" s="63"/>
      <c r="L24" s="63"/>
    </row>
    <row r="25" spans="1:12" hidden="1">
      <c r="A25" s="72" t="s">
        <v>507</v>
      </c>
      <c r="B25" s="56" t="s">
        <v>508</v>
      </c>
      <c r="C25" s="55" t="s">
        <v>508</v>
      </c>
      <c r="D25" s="73" t="s">
        <v>34</v>
      </c>
      <c r="I25" s="60"/>
      <c r="J25" s="64"/>
      <c r="K25" s="63"/>
      <c r="L25" s="63"/>
    </row>
    <row r="26" spans="1:12" ht="25.5">
      <c r="A26" s="45" t="s">
        <v>49</v>
      </c>
      <c r="B26" s="49" t="s">
        <v>509</v>
      </c>
      <c r="C26" s="48" t="s">
        <v>510</v>
      </c>
      <c r="D26" s="48" t="s">
        <v>511</v>
      </c>
      <c r="I26" s="60"/>
      <c r="J26" s="64"/>
      <c r="K26" s="63"/>
      <c r="L26" s="63"/>
    </row>
    <row r="27" spans="1:12" hidden="1">
      <c r="A27" s="72" t="s">
        <v>512</v>
      </c>
      <c r="B27" s="56" t="s">
        <v>513</v>
      </c>
      <c r="C27" s="55" t="s">
        <v>513</v>
      </c>
      <c r="D27" s="73" t="s">
        <v>34</v>
      </c>
      <c r="I27" s="60"/>
      <c r="J27" s="64"/>
      <c r="K27" s="63"/>
      <c r="L27" s="63"/>
    </row>
    <row r="28" spans="1:12">
      <c r="A28" s="45" t="s">
        <v>53</v>
      </c>
      <c r="B28" s="49" t="s">
        <v>514</v>
      </c>
      <c r="C28" s="48" t="s">
        <v>515</v>
      </c>
      <c r="D28" s="48" t="s">
        <v>516</v>
      </c>
      <c r="I28" s="60"/>
      <c r="J28" s="64"/>
      <c r="K28" s="63"/>
      <c r="L28" s="63"/>
    </row>
    <row r="29" spans="1:12" ht="15.75" hidden="1" thickBot="1">
      <c r="A29" s="31" t="s">
        <v>517</v>
      </c>
      <c r="B29" s="36" t="s">
        <v>518</v>
      </c>
      <c r="C29" s="37" t="s">
        <v>518</v>
      </c>
      <c r="D29" s="34" t="s">
        <v>34</v>
      </c>
      <c r="I29" s="60"/>
      <c r="J29" s="64"/>
      <c r="K29" s="63"/>
      <c r="L29" s="63"/>
    </row>
    <row r="30" spans="1:12" ht="15.75" hidden="1" thickBot="1">
      <c r="A30" s="31" t="s">
        <v>519</v>
      </c>
      <c r="B30" s="36" t="s">
        <v>520</v>
      </c>
      <c r="C30" s="37" t="s">
        <v>520</v>
      </c>
      <c r="D30" s="34" t="s">
        <v>34</v>
      </c>
      <c r="I30" s="60"/>
      <c r="J30" s="64"/>
      <c r="K30" s="63"/>
      <c r="L30" s="63"/>
    </row>
    <row r="31" spans="1:12" ht="15.75" hidden="1" thickBot="1">
      <c r="A31" s="31" t="s">
        <v>521</v>
      </c>
      <c r="B31" s="36" t="s">
        <v>522</v>
      </c>
      <c r="C31" s="37" t="s">
        <v>522</v>
      </c>
      <c r="D31" s="34" t="s">
        <v>34</v>
      </c>
      <c r="I31" s="60"/>
      <c r="J31" s="64"/>
      <c r="K31" s="63"/>
      <c r="L31" s="63"/>
    </row>
    <row r="32" spans="1:12" ht="15.75" hidden="1" thickBot="1">
      <c r="A32" s="31" t="s">
        <v>523</v>
      </c>
      <c r="B32" s="36" t="s">
        <v>524</v>
      </c>
      <c r="C32" s="37" t="s">
        <v>524</v>
      </c>
      <c r="D32" s="34" t="s">
        <v>34</v>
      </c>
      <c r="I32" s="60"/>
      <c r="J32" s="64"/>
      <c r="K32" s="63"/>
      <c r="L32" s="63"/>
    </row>
    <row r="33" spans="1:12" ht="15.75" hidden="1" thickBot="1">
      <c r="A33" s="31" t="s">
        <v>525</v>
      </c>
      <c r="B33" s="36" t="s">
        <v>526</v>
      </c>
      <c r="C33" s="37" t="s">
        <v>526</v>
      </c>
      <c r="D33" s="34" t="s">
        <v>34</v>
      </c>
      <c r="I33" s="60"/>
      <c r="J33" s="64"/>
      <c r="K33" s="63"/>
      <c r="L33" s="63"/>
    </row>
    <row r="34" spans="1:12" ht="39" hidden="1" thickBot="1">
      <c r="A34" s="31" t="s">
        <v>527</v>
      </c>
      <c r="B34" s="36" t="s">
        <v>528</v>
      </c>
      <c r="C34" s="37" t="s">
        <v>528</v>
      </c>
      <c r="D34" s="34" t="s">
        <v>34</v>
      </c>
      <c r="I34" s="60"/>
      <c r="J34" s="64"/>
      <c r="K34" s="63"/>
      <c r="L34" s="63"/>
    </row>
    <row r="35" spans="1:12" hidden="1">
      <c r="A35" s="72" t="s">
        <v>529</v>
      </c>
      <c r="B35" s="56" t="s">
        <v>530</v>
      </c>
      <c r="C35" s="55" t="s">
        <v>530</v>
      </c>
      <c r="D35" s="73" t="s">
        <v>34</v>
      </c>
      <c r="I35" s="60"/>
      <c r="J35" s="64"/>
      <c r="K35" s="63"/>
      <c r="L35" s="63"/>
    </row>
    <row r="36" spans="1:12">
      <c r="A36" s="45" t="s">
        <v>56</v>
      </c>
      <c r="B36" s="49" t="s">
        <v>531</v>
      </c>
      <c r="C36" s="48" t="s">
        <v>34</v>
      </c>
      <c r="D36" s="48" t="s">
        <v>531</v>
      </c>
      <c r="I36" s="60"/>
      <c r="J36" s="64"/>
      <c r="K36" s="63"/>
      <c r="L36" s="63"/>
    </row>
    <row r="37" spans="1:12" ht="15.75" hidden="1" thickBot="1">
      <c r="A37" s="31" t="s">
        <v>532</v>
      </c>
      <c r="B37" s="36" t="s">
        <v>533</v>
      </c>
      <c r="C37" s="37" t="s">
        <v>534</v>
      </c>
      <c r="D37" s="34" t="s">
        <v>535</v>
      </c>
      <c r="I37" s="60"/>
      <c r="J37" s="64"/>
      <c r="K37" s="63"/>
      <c r="L37" s="63"/>
    </row>
    <row r="38" spans="1:12" ht="15.75" hidden="1" thickBot="1">
      <c r="A38" s="31" t="s">
        <v>536</v>
      </c>
      <c r="B38" s="36" t="s">
        <v>537</v>
      </c>
      <c r="C38" s="37" t="s">
        <v>537</v>
      </c>
      <c r="D38" s="34" t="s">
        <v>34</v>
      </c>
      <c r="I38" s="60"/>
      <c r="J38" s="64"/>
      <c r="K38" s="63"/>
      <c r="L38" s="63"/>
    </row>
    <row r="39" spans="1:12" hidden="1">
      <c r="A39" s="72" t="s">
        <v>538</v>
      </c>
      <c r="B39" s="56" t="s">
        <v>539</v>
      </c>
      <c r="C39" s="55" t="s">
        <v>539</v>
      </c>
      <c r="D39" s="73" t="s">
        <v>34</v>
      </c>
      <c r="I39" s="60"/>
      <c r="J39" s="64"/>
      <c r="K39" s="63"/>
      <c r="L39" s="63"/>
    </row>
    <row r="40" spans="1:12">
      <c r="A40" s="45" t="s">
        <v>540</v>
      </c>
      <c r="B40" s="49" t="s">
        <v>541</v>
      </c>
      <c r="C40" s="48" t="s">
        <v>542</v>
      </c>
      <c r="D40" s="48" t="s">
        <v>543</v>
      </c>
      <c r="I40" s="60"/>
      <c r="J40" s="64"/>
      <c r="K40" s="63"/>
      <c r="L40" s="63"/>
    </row>
    <row r="41" spans="1:12" ht="26.25" hidden="1" thickBot="1">
      <c r="A41" s="31" t="s">
        <v>544</v>
      </c>
      <c r="B41" s="36" t="s">
        <v>545</v>
      </c>
      <c r="C41" s="37" t="s">
        <v>545</v>
      </c>
      <c r="D41" s="34" t="s">
        <v>34</v>
      </c>
      <c r="I41" s="60"/>
      <c r="J41" s="64"/>
      <c r="K41" s="63"/>
      <c r="L41" s="63"/>
    </row>
    <row r="42" spans="1:12" ht="15.75" hidden="1" thickBot="1">
      <c r="A42" s="31" t="s">
        <v>546</v>
      </c>
      <c r="B42" s="36" t="s">
        <v>547</v>
      </c>
      <c r="C42" s="37" t="s">
        <v>547</v>
      </c>
      <c r="D42" s="34" t="s">
        <v>34</v>
      </c>
      <c r="I42" s="60"/>
      <c r="J42" s="64"/>
      <c r="K42" s="63"/>
      <c r="L42" s="63"/>
    </row>
    <row r="43" spans="1:12" hidden="1">
      <c r="A43" s="72" t="s">
        <v>548</v>
      </c>
      <c r="B43" s="56" t="s">
        <v>549</v>
      </c>
      <c r="C43" s="55" t="s">
        <v>549</v>
      </c>
      <c r="D43" s="73" t="s">
        <v>34</v>
      </c>
      <c r="I43" s="60"/>
      <c r="J43" s="64"/>
      <c r="K43" s="63"/>
      <c r="L43" s="63"/>
    </row>
    <row r="44" spans="1:12">
      <c r="A44" s="45" t="s">
        <v>70</v>
      </c>
      <c r="B44" s="49" t="s">
        <v>550</v>
      </c>
      <c r="C44" s="48" t="s">
        <v>551</v>
      </c>
      <c r="D44" s="48" t="s">
        <v>552</v>
      </c>
      <c r="I44" s="60"/>
      <c r="J44" s="64"/>
      <c r="K44" s="63"/>
      <c r="L44" s="63"/>
    </row>
    <row r="45" spans="1:12" ht="15.75" hidden="1" thickBot="1">
      <c r="A45" s="31" t="s">
        <v>553</v>
      </c>
      <c r="B45" s="36" t="s">
        <v>554</v>
      </c>
      <c r="C45" s="37" t="s">
        <v>554</v>
      </c>
      <c r="D45" s="34" t="s">
        <v>34</v>
      </c>
      <c r="I45" s="60"/>
      <c r="J45" s="64"/>
      <c r="K45" s="63"/>
      <c r="L45" s="63"/>
    </row>
    <row r="46" spans="1:12" ht="25.5" hidden="1">
      <c r="A46" s="72" t="s">
        <v>555</v>
      </c>
      <c r="B46" s="56" t="s">
        <v>556</v>
      </c>
      <c r="C46" s="55" t="s">
        <v>556</v>
      </c>
      <c r="D46" s="73" t="s">
        <v>34</v>
      </c>
      <c r="I46" s="60"/>
      <c r="J46" s="64"/>
      <c r="K46" s="63"/>
      <c r="L46" s="63"/>
    </row>
    <row r="47" spans="1:12">
      <c r="A47" s="45" t="s">
        <v>73</v>
      </c>
      <c r="B47" s="49" t="s">
        <v>557</v>
      </c>
      <c r="C47" s="48" t="s">
        <v>558</v>
      </c>
      <c r="D47" s="48" t="s">
        <v>559</v>
      </c>
      <c r="I47" s="60"/>
      <c r="J47" s="64"/>
      <c r="K47" s="63"/>
      <c r="L47" s="63"/>
    </row>
    <row r="48" spans="1:12" ht="15.75" hidden="1" thickBot="1">
      <c r="A48" s="31" t="s">
        <v>560</v>
      </c>
      <c r="B48" s="36" t="s">
        <v>561</v>
      </c>
      <c r="C48" s="37" t="s">
        <v>562</v>
      </c>
      <c r="D48" s="34" t="s">
        <v>563</v>
      </c>
      <c r="I48" s="60"/>
      <c r="J48" s="64"/>
      <c r="K48" s="63"/>
      <c r="L48" s="63"/>
    </row>
    <row r="49" spans="1:12" ht="15.75" hidden="1" thickBot="1">
      <c r="A49" s="31" t="s">
        <v>564</v>
      </c>
      <c r="B49" s="36" t="s">
        <v>565</v>
      </c>
      <c r="C49" s="37" t="s">
        <v>565</v>
      </c>
      <c r="D49" s="34" t="s">
        <v>34</v>
      </c>
      <c r="I49" s="60"/>
      <c r="J49" s="64"/>
      <c r="K49" s="63"/>
      <c r="L49" s="63"/>
    </row>
    <row r="50" spans="1:12" ht="15.75" hidden="1" thickBot="1">
      <c r="A50" s="31" t="s">
        <v>566</v>
      </c>
      <c r="B50" s="36" t="s">
        <v>567</v>
      </c>
      <c r="C50" s="37" t="s">
        <v>567</v>
      </c>
      <c r="D50" s="34" t="s">
        <v>34</v>
      </c>
      <c r="I50" s="60"/>
      <c r="J50" s="64"/>
      <c r="K50" s="63"/>
      <c r="L50" s="63"/>
    </row>
    <row r="51" spans="1:12" ht="26.25" hidden="1" thickBot="1">
      <c r="A51" s="31" t="s">
        <v>568</v>
      </c>
      <c r="B51" s="36" t="s">
        <v>569</v>
      </c>
      <c r="C51" s="37" t="s">
        <v>569</v>
      </c>
      <c r="D51" s="34" t="s">
        <v>34</v>
      </c>
      <c r="I51" s="60"/>
      <c r="J51" s="64"/>
      <c r="K51" s="63"/>
      <c r="L51" s="63"/>
    </row>
    <row r="52" spans="1:12" ht="15.75" hidden="1" thickBot="1">
      <c r="A52" s="31" t="s">
        <v>570</v>
      </c>
      <c r="B52" s="36" t="s">
        <v>571</v>
      </c>
      <c r="C52" s="37" t="s">
        <v>572</v>
      </c>
      <c r="D52" s="34" t="s">
        <v>573</v>
      </c>
      <c r="I52" s="60"/>
      <c r="J52" s="64"/>
      <c r="K52" s="63"/>
      <c r="L52" s="63"/>
    </row>
    <row r="53" spans="1:12" hidden="1">
      <c r="A53" s="72" t="s">
        <v>574</v>
      </c>
      <c r="B53" s="56" t="s">
        <v>575</v>
      </c>
      <c r="C53" s="55" t="s">
        <v>576</v>
      </c>
      <c r="D53" s="73" t="s">
        <v>577</v>
      </c>
      <c r="I53" s="60"/>
      <c r="J53" s="64"/>
      <c r="K53" s="63"/>
      <c r="L53" s="63"/>
    </row>
    <row r="54" spans="1:12" ht="25.5">
      <c r="A54" s="45" t="s">
        <v>81</v>
      </c>
      <c r="B54" s="49" t="s">
        <v>578</v>
      </c>
      <c r="C54" s="48" t="s">
        <v>579</v>
      </c>
      <c r="D54" s="48" t="s">
        <v>580</v>
      </c>
      <c r="I54" s="60"/>
      <c r="J54" s="64"/>
      <c r="K54" s="63"/>
      <c r="L54" s="63"/>
    </row>
    <row r="55" spans="1:12" hidden="1">
      <c r="A55" s="72" t="s">
        <v>581</v>
      </c>
      <c r="B55" s="56" t="s">
        <v>582</v>
      </c>
      <c r="C55" s="55" t="s">
        <v>582</v>
      </c>
      <c r="D55" s="73" t="s">
        <v>34</v>
      </c>
      <c r="I55" s="60"/>
      <c r="J55" s="64"/>
      <c r="K55" s="63"/>
      <c r="L55" s="63"/>
    </row>
    <row r="56" spans="1:12">
      <c r="A56" s="45" t="s">
        <v>92</v>
      </c>
      <c r="B56" s="49" t="s">
        <v>583</v>
      </c>
      <c r="C56" s="48" t="s">
        <v>34</v>
      </c>
      <c r="D56" s="48" t="s">
        <v>583</v>
      </c>
      <c r="I56" s="60"/>
      <c r="J56" s="64"/>
      <c r="K56" s="63"/>
      <c r="L56" s="63"/>
    </row>
    <row r="57" spans="1:12" hidden="1">
      <c r="A57" s="72" t="s">
        <v>584</v>
      </c>
      <c r="B57" s="56" t="s">
        <v>585</v>
      </c>
      <c r="C57" s="55" t="s">
        <v>585</v>
      </c>
      <c r="D57" s="73" t="s">
        <v>34</v>
      </c>
      <c r="I57" s="60"/>
      <c r="J57" s="64"/>
      <c r="K57" s="63"/>
      <c r="L57" s="63"/>
    </row>
    <row r="58" spans="1:12" ht="25.5">
      <c r="A58" s="45" t="s">
        <v>96</v>
      </c>
      <c r="B58" s="49" t="s">
        <v>586</v>
      </c>
      <c r="C58" s="48" t="s">
        <v>587</v>
      </c>
      <c r="D58" s="48" t="s">
        <v>588</v>
      </c>
      <c r="I58" s="60"/>
      <c r="J58" s="64"/>
      <c r="K58" s="63"/>
      <c r="L58" s="63"/>
    </row>
    <row r="59" spans="1:12" ht="15.75" hidden="1" thickBot="1">
      <c r="A59" s="31" t="s">
        <v>589</v>
      </c>
      <c r="B59" s="36" t="s">
        <v>590</v>
      </c>
      <c r="C59" s="37" t="s">
        <v>590</v>
      </c>
      <c r="D59" s="34" t="s">
        <v>34</v>
      </c>
      <c r="I59" s="60"/>
      <c r="J59" s="64"/>
      <c r="K59" s="63"/>
      <c r="L59" s="63"/>
    </row>
    <row r="60" spans="1:12" ht="15.75" hidden="1" thickBot="1">
      <c r="A60" s="31" t="s">
        <v>591</v>
      </c>
      <c r="B60" s="36" t="s">
        <v>592</v>
      </c>
      <c r="C60" s="37" t="s">
        <v>593</v>
      </c>
      <c r="D60" s="34" t="s">
        <v>594</v>
      </c>
      <c r="I60" s="60"/>
      <c r="J60" s="64"/>
      <c r="K60" s="63"/>
      <c r="L60" s="63"/>
    </row>
    <row r="61" spans="1:12" ht="15.75" hidden="1" thickBot="1">
      <c r="A61" s="31" t="s">
        <v>595</v>
      </c>
      <c r="B61" s="36" t="s">
        <v>596</v>
      </c>
      <c r="C61" s="37" t="s">
        <v>597</v>
      </c>
      <c r="D61" s="34" t="s">
        <v>598</v>
      </c>
      <c r="I61" s="60"/>
      <c r="J61" s="64"/>
      <c r="K61" s="63"/>
      <c r="L61" s="63"/>
    </row>
    <row r="62" spans="1:12" ht="15.75" hidden="1" thickBot="1">
      <c r="A62" s="31" t="s">
        <v>599</v>
      </c>
      <c r="B62" s="36" t="s">
        <v>600</v>
      </c>
      <c r="C62" s="37" t="s">
        <v>600</v>
      </c>
      <c r="D62" s="34" t="s">
        <v>34</v>
      </c>
      <c r="I62" s="60"/>
      <c r="J62" s="64"/>
      <c r="K62" s="63"/>
      <c r="L62" s="63"/>
    </row>
    <row r="63" spans="1:12" ht="15.75" hidden="1" thickBot="1">
      <c r="A63" s="31" t="s">
        <v>601</v>
      </c>
      <c r="B63" s="36" t="s">
        <v>602</v>
      </c>
      <c r="C63" s="37" t="s">
        <v>602</v>
      </c>
      <c r="D63" s="34" t="s">
        <v>34</v>
      </c>
      <c r="I63" s="60"/>
      <c r="J63" s="64"/>
      <c r="K63" s="63"/>
      <c r="L63" s="63"/>
    </row>
    <row r="64" spans="1:12" ht="39" hidden="1" thickBot="1">
      <c r="A64" s="31" t="s">
        <v>603</v>
      </c>
      <c r="B64" s="36" t="s">
        <v>604</v>
      </c>
      <c r="C64" s="37" t="s">
        <v>604</v>
      </c>
      <c r="D64" s="34" t="s">
        <v>34</v>
      </c>
      <c r="I64" s="60"/>
      <c r="J64" s="64"/>
      <c r="K64" s="63"/>
      <c r="L64" s="63"/>
    </row>
    <row r="65" spans="1:12" hidden="1">
      <c r="A65" s="72" t="s">
        <v>605</v>
      </c>
      <c r="B65" s="56" t="s">
        <v>606</v>
      </c>
      <c r="C65" s="55" t="s">
        <v>606</v>
      </c>
      <c r="D65" s="73" t="s">
        <v>34</v>
      </c>
      <c r="I65" s="60"/>
      <c r="J65" s="64"/>
      <c r="K65" s="63"/>
      <c r="L65" s="63"/>
    </row>
    <row r="66" spans="1:12">
      <c r="A66" s="45" t="s">
        <v>100</v>
      </c>
      <c r="B66" s="49" t="s">
        <v>607</v>
      </c>
      <c r="C66" s="48" t="s">
        <v>608</v>
      </c>
      <c r="D66" s="48" t="s">
        <v>609</v>
      </c>
      <c r="I66" s="60"/>
      <c r="J66" s="64"/>
      <c r="K66" s="63"/>
      <c r="L66" s="63"/>
    </row>
    <row r="67" spans="1:12" ht="15.75" hidden="1" thickBot="1">
      <c r="A67" s="31" t="s">
        <v>610</v>
      </c>
      <c r="B67" s="36" t="s">
        <v>611</v>
      </c>
      <c r="C67" s="37" t="s">
        <v>611</v>
      </c>
      <c r="D67" s="34" t="s">
        <v>34</v>
      </c>
      <c r="I67" s="60"/>
      <c r="J67" s="64"/>
      <c r="K67" s="63"/>
      <c r="L67" s="63"/>
    </row>
    <row r="68" spans="1:12" ht="15.75" hidden="1" thickBot="1">
      <c r="A68" s="31" t="s">
        <v>612</v>
      </c>
      <c r="B68" s="36" t="s">
        <v>613</v>
      </c>
      <c r="C68" s="37" t="s">
        <v>614</v>
      </c>
      <c r="D68" s="34" t="s">
        <v>615</v>
      </c>
      <c r="I68" s="60"/>
      <c r="J68" s="64"/>
      <c r="K68" s="63"/>
      <c r="L68" s="63"/>
    </row>
    <row r="69" spans="1:12" ht="25.5" hidden="1">
      <c r="A69" s="72" t="s">
        <v>616</v>
      </c>
      <c r="B69" s="56" t="s">
        <v>617</v>
      </c>
      <c r="C69" s="55" t="s">
        <v>617</v>
      </c>
      <c r="D69" s="73" t="s">
        <v>34</v>
      </c>
      <c r="I69" s="60"/>
      <c r="J69" s="64"/>
      <c r="K69" s="63"/>
      <c r="L69" s="63"/>
    </row>
    <row r="70" spans="1:12" ht="25.5">
      <c r="A70" s="45" t="s">
        <v>104</v>
      </c>
      <c r="B70" s="49" t="s">
        <v>618</v>
      </c>
      <c r="C70" s="48" t="s">
        <v>619</v>
      </c>
      <c r="D70" s="48" t="s">
        <v>620</v>
      </c>
      <c r="I70" s="60"/>
      <c r="J70" s="64"/>
      <c r="K70" s="63"/>
      <c r="L70" s="63"/>
    </row>
    <row r="71" spans="1:12" ht="15.75" hidden="1" thickBot="1">
      <c r="A71" s="31" t="s">
        <v>621</v>
      </c>
      <c r="B71" s="36" t="s">
        <v>622</v>
      </c>
      <c r="C71" s="37" t="s">
        <v>622</v>
      </c>
      <c r="D71" s="34" t="s">
        <v>34</v>
      </c>
      <c r="I71" s="60"/>
      <c r="J71" s="64"/>
      <c r="K71" s="63"/>
      <c r="L71" s="63"/>
    </row>
    <row r="72" spans="1:12" ht="15.75" hidden="1" thickBot="1">
      <c r="A72" s="31" t="s">
        <v>623</v>
      </c>
      <c r="B72" s="36" t="s">
        <v>624</v>
      </c>
      <c r="C72" s="37" t="s">
        <v>624</v>
      </c>
      <c r="D72" s="34" t="s">
        <v>34</v>
      </c>
      <c r="I72" s="60"/>
      <c r="J72" s="64"/>
      <c r="K72" s="63"/>
      <c r="L72" s="63"/>
    </row>
    <row r="73" spans="1:12" ht="15.75" hidden="1" thickBot="1">
      <c r="A73" s="31" t="s">
        <v>625</v>
      </c>
      <c r="B73" s="36" t="s">
        <v>626</v>
      </c>
      <c r="C73" s="37" t="s">
        <v>626</v>
      </c>
      <c r="D73" s="34" t="s">
        <v>34</v>
      </c>
      <c r="I73" s="60"/>
      <c r="J73" s="64"/>
      <c r="K73" s="63"/>
      <c r="L73" s="63"/>
    </row>
    <row r="74" spans="1:12" ht="15.75" hidden="1" thickBot="1">
      <c r="A74" s="31" t="s">
        <v>627</v>
      </c>
      <c r="B74" s="36" t="s">
        <v>628</v>
      </c>
      <c r="C74" s="37" t="s">
        <v>628</v>
      </c>
      <c r="D74" s="34" t="s">
        <v>34</v>
      </c>
      <c r="I74" s="60"/>
      <c r="J74" s="64"/>
      <c r="K74" s="63"/>
      <c r="L74" s="63"/>
    </row>
    <row r="75" spans="1:12" ht="15.75" hidden="1" thickBot="1">
      <c r="A75" s="31" t="s">
        <v>629</v>
      </c>
      <c r="B75" s="36" t="s">
        <v>630</v>
      </c>
      <c r="C75" s="37" t="s">
        <v>630</v>
      </c>
      <c r="D75" s="34" t="s">
        <v>34</v>
      </c>
      <c r="I75" s="60"/>
      <c r="J75" s="64"/>
      <c r="K75" s="63"/>
      <c r="L75" s="63"/>
    </row>
    <row r="76" spans="1:12" ht="15.75" hidden="1" thickBot="1">
      <c r="A76" s="31" t="s">
        <v>631</v>
      </c>
      <c r="B76" s="36" t="s">
        <v>632</v>
      </c>
      <c r="C76" s="37" t="s">
        <v>633</v>
      </c>
      <c r="D76" s="34" t="s">
        <v>634</v>
      </c>
      <c r="I76" s="60"/>
      <c r="J76" s="64"/>
      <c r="K76" s="63"/>
      <c r="L76" s="63"/>
    </row>
    <row r="77" spans="1:12" hidden="1">
      <c r="A77" s="72" t="s">
        <v>635</v>
      </c>
      <c r="B77" s="56" t="s">
        <v>636</v>
      </c>
      <c r="C77" s="55" t="s">
        <v>636</v>
      </c>
      <c r="D77" s="73" t="s">
        <v>34</v>
      </c>
      <c r="I77" s="60"/>
      <c r="J77" s="64"/>
      <c r="K77" s="63"/>
      <c r="L77" s="63"/>
    </row>
    <row r="78" spans="1:12">
      <c r="A78" s="45" t="s">
        <v>110</v>
      </c>
      <c r="B78" s="49" t="s">
        <v>637</v>
      </c>
      <c r="C78" s="48" t="s">
        <v>638</v>
      </c>
      <c r="D78" s="48" t="s">
        <v>639</v>
      </c>
      <c r="I78" s="60"/>
      <c r="J78" s="64"/>
      <c r="K78" s="63"/>
      <c r="L78" s="63"/>
    </row>
    <row r="79" spans="1:12">
      <c r="A79" s="45" t="s">
        <v>132</v>
      </c>
      <c r="B79" s="49" t="s">
        <v>640</v>
      </c>
      <c r="C79" s="48" t="s">
        <v>641</v>
      </c>
      <c r="D79" s="48" t="s">
        <v>642</v>
      </c>
      <c r="I79" s="60"/>
      <c r="J79" s="64"/>
      <c r="K79" s="63"/>
      <c r="L79" s="63"/>
    </row>
    <row r="80" spans="1:12" ht="15.75" hidden="1" thickBot="1">
      <c r="A80" s="31" t="s">
        <v>643</v>
      </c>
      <c r="B80" s="36" t="s">
        <v>644</v>
      </c>
      <c r="C80" s="37" t="s">
        <v>644</v>
      </c>
      <c r="D80" s="34" t="s">
        <v>34</v>
      </c>
      <c r="I80" s="60"/>
      <c r="J80" s="64"/>
      <c r="K80" s="63"/>
      <c r="L80" s="63"/>
    </row>
    <row r="81" spans="1:12" ht="25.5" hidden="1">
      <c r="A81" s="72" t="s">
        <v>645</v>
      </c>
      <c r="B81" s="56" t="s">
        <v>646</v>
      </c>
      <c r="C81" s="55" t="s">
        <v>646</v>
      </c>
      <c r="D81" s="73" t="s">
        <v>34</v>
      </c>
      <c r="I81" s="60"/>
      <c r="J81" s="64"/>
      <c r="K81" s="63"/>
      <c r="L81" s="63"/>
    </row>
    <row r="82" spans="1:12" ht="25.5">
      <c r="A82" s="45" t="s">
        <v>137</v>
      </c>
      <c r="B82" s="49" t="s">
        <v>647</v>
      </c>
      <c r="C82" s="48" t="s">
        <v>34</v>
      </c>
      <c r="D82" s="48" t="s">
        <v>647</v>
      </c>
      <c r="I82" s="60"/>
      <c r="J82" s="64"/>
      <c r="K82" s="63"/>
      <c r="L82" s="63"/>
    </row>
    <row r="83" spans="1:12" ht="25.5" hidden="1">
      <c r="A83" s="72" t="s">
        <v>648</v>
      </c>
      <c r="B83" s="56" t="s">
        <v>649</v>
      </c>
      <c r="C83" s="55" t="s">
        <v>649</v>
      </c>
      <c r="D83" s="73" t="s">
        <v>34</v>
      </c>
      <c r="I83" s="60"/>
      <c r="J83" s="64"/>
      <c r="K83" s="63"/>
      <c r="L83" s="63"/>
    </row>
    <row r="84" spans="1:12">
      <c r="A84" s="45" t="s">
        <v>147</v>
      </c>
      <c r="B84" s="49" t="s">
        <v>650</v>
      </c>
      <c r="C84" s="48" t="s">
        <v>651</v>
      </c>
      <c r="D84" s="48" t="s">
        <v>652</v>
      </c>
      <c r="I84" s="60"/>
      <c r="J84" s="64"/>
      <c r="K84" s="63"/>
      <c r="L84" s="63"/>
    </row>
    <row r="85" spans="1:12">
      <c r="A85" s="45" t="s">
        <v>154</v>
      </c>
      <c r="B85" s="49" t="s">
        <v>653</v>
      </c>
      <c r="C85" s="48" t="s">
        <v>654</v>
      </c>
      <c r="D85" s="48" t="s">
        <v>655</v>
      </c>
      <c r="I85" s="60"/>
      <c r="J85" s="64"/>
      <c r="K85" s="63"/>
      <c r="L85" s="63"/>
    </row>
    <row r="86" spans="1:12" ht="26.25" hidden="1" thickBot="1">
      <c r="A86" s="31" t="s">
        <v>656</v>
      </c>
      <c r="B86" s="36" t="s">
        <v>657</v>
      </c>
      <c r="C86" s="37" t="s">
        <v>657</v>
      </c>
      <c r="D86" s="34" t="s">
        <v>34</v>
      </c>
      <c r="I86" s="60"/>
      <c r="J86" s="64"/>
      <c r="K86" s="63"/>
      <c r="L86" s="63"/>
    </row>
    <row r="87" spans="1:12" ht="15.75" hidden="1" thickBot="1">
      <c r="A87" s="31" t="s">
        <v>658</v>
      </c>
      <c r="B87" s="36" t="s">
        <v>659</v>
      </c>
      <c r="C87" s="37" t="s">
        <v>659</v>
      </c>
      <c r="D87" s="34" t="s">
        <v>34</v>
      </c>
      <c r="I87" s="60"/>
      <c r="J87" s="64"/>
      <c r="K87" s="63"/>
      <c r="L87" s="63"/>
    </row>
    <row r="88" spans="1:12" ht="15.75" hidden="1" thickBot="1">
      <c r="A88" s="31" t="s">
        <v>660</v>
      </c>
      <c r="B88" s="36" t="s">
        <v>661</v>
      </c>
      <c r="C88" s="37" t="s">
        <v>661</v>
      </c>
      <c r="D88" s="34" t="s">
        <v>34</v>
      </c>
      <c r="I88" s="60"/>
      <c r="J88" s="64"/>
      <c r="K88" s="63"/>
      <c r="L88" s="63"/>
    </row>
    <row r="89" spans="1:12" ht="15.75" hidden="1" thickBot="1">
      <c r="A89" s="31" t="s">
        <v>662</v>
      </c>
      <c r="B89" s="36" t="s">
        <v>663</v>
      </c>
      <c r="C89" s="37" t="s">
        <v>663</v>
      </c>
      <c r="D89" s="34" t="s">
        <v>34</v>
      </c>
      <c r="I89" s="60"/>
      <c r="J89" s="64"/>
      <c r="K89" s="63"/>
      <c r="L89" s="63"/>
    </row>
    <row r="90" spans="1:12" ht="15.75" hidden="1" thickBot="1">
      <c r="A90" s="31" t="s">
        <v>664</v>
      </c>
      <c r="B90" s="36" t="s">
        <v>665</v>
      </c>
      <c r="C90" s="37" t="s">
        <v>665</v>
      </c>
      <c r="D90" s="34" t="s">
        <v>34</v>
      </c>
      <c r="I90" s="60"/>
      <c r="J90" s="64"/>
      <c r="K90" s="63"/>
      <c r="L90" s="63"/>
    </row>
    <row r="91" spans="1:12" ht="15.75" hidden="1" thickBot="1">
      <c r="A91" s="31" t="s">
        <v>666</v>
      </c>
      <c r="B91" s="36" t="s">
        <v>667</v>
      </c>
      <c r="C91" s="37" t="s">
        <v>667</v>
      </c>
      <c r="D91" s="34" t="s">
        <v>34</v>
      </c>
      <c r="I91" s="60"/>
      <c r="J91" s="64"/>
      <c r="K91" s="63"/>
      <c r="L91" s="63"/>
    </row>
    <row r="92" spans="1:12" hidden="1">
      <c r="A92" s="72" t="s">
        <v>668</v>
      </c>
      <c r="B92" s="56" t="s">
        <v>669</v>
      </c>
      <c r="C92" s="55" t="s">
        <v>669</v>
      </c>
      <c r="D92" s="73" t="s">
        <v>34</v>
      </c>
      <c r="I92" s="60"/>
      <c r="J92" s="64"/>
      <c r="K92" s="63"/>
      <c r="L92" s="63"/>
    </row>
    <row r="93" spans="1:12">
      <c r="A93" s="45" t="s">
        <v>159</v>
      </c>
      <c r="B93" s="49" t="s">
        <v>670</v>
      </c>
      <c r="C93" s="48" t="s">
        <v>671</v>
      </c>
      <c r="D93" s="48" t="s">
        <v>672</v>
      </c>
      <c r="I93" s="60"/>
      <c r="J93" s="64"/>
      <c r="K93" s="63"/>
      <c r="L93" s="63"/>
    </row>
    <row r="94" spans="1:12" ht="26.25" hidden="1" thickBot="1">
      <c r="A94" s="31" t="s">
        <v>673</v>
      </c>
      <c r="B94" s="36" t="s">
        <v>674</v>
      </c>
      <c r="C94" s="37" t="s">
        <v>674</v>
      </c>
      <c r="D94" s="34" t="s">
        <v>34</v>
      </c>
      <c r="I94" s="60"/>
      <c r="J94" s="64"/>
      <c r="K94" s="63"/>
      <c r="L94" s="63"/>
    </row>
    <row r="95" spans="1:12" ht="15.75" hidden="1" thickBot="1">
      <c r="A95" s="31" t="s">
        <v>675</v>
      </c>
      <c r="B95" s="36" t="s">
        <v>676</v>
      </c>
      <c r="C95" s="37" t="s">
        <v>676</v>
      </c>
      <c r="D95" s="34" t="s">
        <v>34</v>
      </c>
      <c r="I95" s="60"/>
      <c r="J95" s="64"/>
      <c r="K95" s="63"/>
      <c r="L95" s="63"/>
    </row>
    <row r="96" spans="1:12" ht="15.75" hidden="1" thickBot="1">
      <c r="A96" s="31" t="s">
        <v>677</v>
      </c>
      <c r="B96" s="36" t="s">
        <v>678</v>
      </c>
      <c r="C96" s="37" t="s">
        <v>678</v>
      </c>
      <c r="D96" s="34" t="s">
        <v>34</v>
      </c>
      <c r="I96" s="60"/>
      <c r="J96" s="64"/>
      <c r="K96" s="63"/>
      <c r="L96" s="63"/>
    </row>
    <row r="97" spans="1:12" ht="15.75" hidden="1" thickBot="1">
      <c r="A97" s="31" t="s">
        <v>679</v>
      </c>
      <c r="B97" s="36" t="s">
        <v>680</v>
      </c>
      <c r="C97" s="37" t="s">
        <v>680</v>
      </c>
      <c r="D97" s="34" t="s">
        <v>34</v>
      </c>
      <c r="I97" s="60"/>
      <c r="J97" s="64"/>
      <c r="K97" s="63"/>
      <c r="L97" s="63"/>
    </row>
    <row r="98" spans="1:12" ht="15.75" hidden="1" thickBot="1">
      <c r="A98" s="31" t="s">
        <v>681</v>
      </c>
      <c r="B98" s="36" t="s">
        <v>682</v>
      </c>
      <c r="C98" s="37" t="s">
        <v>682</v>
      </c>
      <c r="D98" s="34" t="s">
        <v>34</v>
      </c>
      <c r="I98" s="60"/>
      <c r="J98" s="64"/>
      <c r="K98" s="63"/>
      <c r="L98" s="63"/>
    </row>
    <row r="99" spans="1:12" ht="15.75" hidden="1" thickBot="1">
      <c r="A99" s="31" t="s">
        <v>683</v>
      </c>
      <c r="B99" s="36" t="s">
        <v>684</v>
      </c>
      <c r="C99" s="37" t="s">
        <v>684</v>
      </c>
      <c r="D99" s="34" t="s">
        <v>34</v>
      </c>
      <c r="I99" s="60"/>
      <c r="J99" s="64"/>
      <c r="K99" s="63"/>
      <c r="L99" s="63"/>
    </row>
    <row r="100" spans="1:12" ht="15.75" hidden="1" thickBot="1">
      <c r="A100" s="31" t="s">
        <v>685</v>
      </c>
      <c r="B100" s="36" t="s">
        <v>686</v>
      </c>
      <c r="C100" s="37" t="s">
        <v>687</v>
      </c>
      <c r="D100" s="34" t="s">
        <v>688</v>
      </c>
      <c r="I100" s="60"/>
      <c r="J100" s="64"/>
      <c r="K100" s="63"/>
      <c r="L100" s="63"/>
    </row>
    <row r="101" spans="1:12" ht="15.75" hidden="1" thickBot="1">
      <c r="A101" s="31" t="s">
        <v>689</v>
      </c>
      <c r="B101" s="36" t="s">
        <v>690</v>
      </c>
      <c r="C101" s="37" t="s">
        <v>690</v>
      </c>
      <c r="D101" s="34" t="s">
        <v>34</v>
      </c>
      <c r="I101" s="60"/>
      <c r="J101" s="64"/>
      <c r="K101" s="63"/>
      <c r="L101" s="63"/>
    </row>
    <row r="102" spans="1:12" ht="25.5" hidden="1">
      <c r="A102" s="72" t="s">
        <v>691</v>
      </c>
      <c r="B102" s="56" t="s">
        <v>692</v>
      </c>
      <c r="C102" s="55" t="s">
        <v>692</v>
      </c>
      <c r="D102" s="73" t="s">
        <v>34</v>
      </c>
      <c r="I102" s="60"/>
      <c r="J102" s="64"/>
      <c r="K102" s="63"/>
      <c r="L102" s="63"/>
    </row>
    <row r="103" spans="1:12">
      <c r="A103" s="45" t="s">
        <v>166</v>
      </c>
      <c r="B103" s="49" t="s">
        <v>693</v>
      </c>
      <c r="C103" s="48" t="s">
        <v>34</v>
      </c>
      <c r="D103" s="48" t="s">
        <v>693</v>
      </c>
      <c r="I103" s="60"/>
      <c r="J103" s="64"/>
      <c r="K103" s="63"/>
      <c r="L103" s="63"/>
    </row>
    <row r="104" spans="1:12" ht="15.75" hidden="1" thickBot="1">
      <c r="A104" s="31" t="s">
        <v>694</v>
      </c>
      <c r="B104" s="36" t="s">
        <v>695</v>
      </c>
      <c r="C104" s="37" t="s">
        <v>695</v>
      </c>
      <c r="D104" s="34" t="s">
        <v>34</v>
      </c>
      <c r="I104" s="60"/>
      <c r="J104" s="64"/>
      <c r="K104" s="63"/>
      <c r="L104" s="63"/>
    </row>
    <row r="105" spans="1:12" hidden="1">
      <c r="A105" s="72" t="s">
        <v>696</v>
      </c>
      <c r="B105" s="56" t="s">
        <v>697</v>
      </c>
      <c r="C105" s="55" t="s">
        <v>697</v>
      </c>
      <c r="D105" s="73" t="s">
        <v>34</v>
      </c>
      <c r="I105" s="60"/>
      <c r="J105" s="64"/>
      <c r="K105" s="63"/>
      <c r="L105" s="63"/>
    </row>
    <row r="106" spans="1:12" ht="25.5">
      <c r="A106" s="45" t="s">
        <v>173</v>
      </c>
      <c r="B106" s="49" t="s">
        <v>698</v>
      </c>
      <c r="C106" s="48" t="s">
        <v>699</v>
      </c>
      <c r="D106" s="48" t="s">
        <v>700</v>
      </c>
      <c r="I106" s="60"/>
      <c r="J106" s="64"/>
      <c r="K106" s="63"/>
      <c r="L106" s="63"/>
    </row>
    <row r="107" spans="1:12" ht="15.75" hidden="1" thickBot="1">
      <c r="A107" s="31" t="s">
        <v>701</v>
      </c>
      <c r="B107" s="36" t="s">
        <v>702</v>
      </c>
      <c r="C107" s="37" t="s">
        <v>702</v>
      </c>
      <c r="D107" s="34" t="s">
        <v>34</v>
      </c>
      <c r="I107" s="60"/>
      <c r="J107" s="64"/>
      <c r="K107" s="63"/>
      <c r="L107" s="63"/>
    </row>
    <row r="108" spans="1:12" ht="15.75" hidden="1" thickBot="1">
      <c r="A108" s="31" t="s">
        <v>703</v>
      </c>
      <c r="B108" s="36" t="s">
        <v>704</v>
      </c>
      <c r="C108" s="37" t="s">
        <v>704</v>
      </c>
      <c r="D108" s="34" t="s">
        <v>34</v>
      </c>
      <c r="I108" s="60"/>
      <c r="J108" s="64"/>
      <c r="K108" s="63"/>
      <c r="L108" s="63"/>
    </row>
    <row r="109" spans="1:12" ht="15.75" hidden="1" thickBot="1">
      <c r="A109" s="31" t="s">
        <v>705</v>
      </c>
      <c r="B109" s="36" t="s">
        <v>706</v>
      </c>
      <c r="C109" s="37" t="s">
        <v>707</v>
      </c>
      <c r="D109" s="34" t="s">
        <v>708</v>
      </c>
      <c r="I109" s="60"/>
      <c r="J109" s="64"/>
      <c r="K109" s="63"/>
      <c r="L109" s="63"/>
    </row>
    <row r="110" spans="1:12" ht="26.25" hidden="1" thickBot="1">
      <c r="A110" s="31" t="s">
        <v>709</v>
      </c>
      <c r="B110" s="36" t="s">
        <v>710</v>
      </c>
      <c r="C110" s="37" t="s">
        <v>710</v>
      </c>
      <c r="D110" s="34" t="s">
        <v>34</v>
      </c>
      <c r="I110" s="60"/>
      <c r="J110" s="64"/>
      <c r="K110" s="63"/>
      <c r="L110" s="63"/>
    </row>
    <row r="111" spans="1:12" hidden="1">
      <c r="A111" s="72" t="s">
        <v>711</v>
      </c>
      <c r="B111" s="56" t="s">
        <v>712</v>
      </c>
      <c r="C111" s="55" t="s">
        <v>712</v>
      </c>
      <c r="D111" s="73" t="s">
        <v>34</v>
      </c>
      <c r="I111" s="60"/>
      <c r="J111" s="64"/>
      <c r="K111" s="63"/>
      <c r="L111" s="63"/>
    </row>
    <row r="112" spans="1:12">
      <c r="A112" s="45" t="s">
        <v>177</v>
      </c>
      <c r="B112" s="49" t="s">
        <v>713</v>
      </c>
      <c r="C112" s="48" t="s">
        <v>714</v>
      </c>
      <c r="D112" s="48" t="s">
        <v>715</v>
      </c>
      <c r="I112" s="60"/>
      <c r="J112" s="64"/>
      <c r="K112" s="63"/>
      <c r="L112" s="63"/>
    </row>
    <row r="113" spans="1:12" hidden="1">
      <c r="A113" s="72" t="s">
        <v>716</v>
      </c>
      <c r="B113" s="56" t="s">
        <v>717</v>
      </c>
      <c r="C113" s="55" t="s">
        <v>718</v>
      </c>
      <c r="D113" s="73" t="s">
        <v>719</v>
      </c>
      <c r="I113" s="60"/>
      <c r="J113" s="64"/>
      <c r="K113" s="63"/>
      <c r="L113" s="63"/>
    </row>
    <row r="114" spans="1:12">
      <c r="A114" s="45" t="s">
        <v>184</v>
      </c>
      <c r="B114" s="49" t="s">
        <v>720</v>
      </c>
      <c r="C114" s="48" t="s">
        <v>34</v>
      </c>
      <c r="D114" s="48" t="s">
        <v>720</v>
      </c>
      <c r="I114" s="60"/>
      <c r="J114" s="64"/>
      <c r="K114" s="63"/>
      <c r="L114" s="63"/>
    </row>
    <row r="115" spans="1:12">
      <c r="A115" s="45" t="s">
        <v>721</v>
      </c>
      <c r="B115" s="49" t="s">
        <v>722</v>
      </c>
      <c r="C115" s="48" t="s">
        <v>723</v>
      </c>
      <c r="D115" s="48" t="s">
        <v>724</v>
      </c>
      <c r="I115" s="60"/>
      <c r="J115" s="64"/>
      <c r="K115" s="63"/>
      <c r="L115" s="63"/>
    </row>
    <row r="116" spans="1:12" ht="25.5">
      <c r="A116" s="45" t="s">
        <v>198</v>
      </c>
      <c r="B116" s="49" t="s">
        <v>725</v>
      </c>
      <c r="C116" s="48" t="s">
        <v>726</v>
      </c>
      <c r="D116" s="48" t="s">
        <v>727</v>
      </c>
      <c r="I116" s="60"/>
      <c r="J116" s="64"/>
      <c r="K116" s="63"/>
      <c r="L116" s="63"/>
    </row>
    <row r="117" spans="1:12" ht="15.75" hidden="1" thickBot="1">
      <c r="A117" s="31" t="s">
        <v>728</v>
      </c>
      <c r="B117" s="36" t="s">
        <v>729</v>
      </c>
      <c r="C117" s="37" t="s">
        <v>729</v>
      </c>
      <c r="D117" s="34" t="s">
        <v>34</v>
      </c>
      <c r="I117" s="60"/>
      <c r="J117" s="64"/>
      <c r="K117" s="63"/>
      <c r="L117" s="63"/>
    </row>
    <row r="118" spans="1:12" ht="15.75" hidden="1" thickBot="1">
      <c r="A118" s="31" t="s">
        <v>730</v>
      </c>
      <c r="B118" s="36" t="s">
        <v>731</v>
      </c>
      <c r="C118" s="37" t="s">
        <v>731</v>
      </c>
      <c r="D118" s="34" t="s">
        <v>34</v>
      </c>
      <c r="I118" s="60"/>
      <c r="J118" s="64"/>
      <c r="K118" s="63"/>
      <c r="L118" s="63"/>
    </row>
    <row r="119" spans="1:12" ht="25.5" hidden="1">
      <c r="A119" s="72" t="s">
        <v>732</v>
      </c>
      <c r="B119" s="56" t="s">
        <v>733</v>
      </c>
      <c r="C119" s="55" t="s">
        <v>733</v>
      </c>
      <c r="D119" s="73" t="s">
        <v>34</v>
      </c>
      <c r="I119" s="60"/>
      <c r="J119" s="64"/>
      <c r="K119" s="63"/>
      <c r="L119" s="63"/>
    </row>
    <row r="120" spans="1:12">
      <c r="A120" s="45" t="s">
        <v>203</v>
      </c>
      <c r="B120" s="49" t="s">
        <v>734</v>
      </c>
      <c r="C120" s="48" t="s">
        <v>735</v>
      </c>
      <c r="D120" s="48" t="s">
        <v>736</v>
      </c>
      <c r="I120" s="60"/>
      <c r="J120" s="64"/>
      <c r="K120" s="63"/>
      <c r="L120" s="63"/>
    </row>
    <row r="121" spans="1:12" ht="15.75" hidden="1" thickBot="1">
      <c r="A121" s="31" t="s">
        <v>737</v>
      </c>
      <c r="B121" s="36" t="s">
        <v>738</v>
      </c>
      <c r="C121" s="37" t="s">
        <v>738</v>
      </c>
      <c r="D121" s="34" t="s">
        <v>34</v>
      </c>
      <c r="I121" s="60"/>
      <c r="J121" s="64"/>
      <c r="K121" s="63"/>
      <c r="L121" s="63"/>
    </row>
    <row r="122" spans="1:12" hidden="1">
      <c r="A122" s="72" t="s">
        <v>739</v>
      </c>
      <c r="B122" s="56" t="s">
        <v>740</v>
      </c>
      <c r="C122" s="55" t="s">
        <v>740</v>
      </c>
      <c r="D122" s="73" t="s">
        <v>34</v>
      </c>
      <c r="I122" s="60"/>
      <c r="J122" s="64"/>
      <c r="K122" s="63"/>
      <c r="L122" s="63"/>
    </row>
    <row r="123" spans="1:12" ht="25.5">
      <c r="A123" s="45" t="s">
        <v>206</v>
      </c>
      <c r="B123" s="49" t="s">
        <v>741</v>
      </c>
      <c r="C123" s="48" t="s">
        <v>742</v>
      </c>
      <c r="D123" s="48" t="s">
        <v>743</v>
      </c>
      <c r="I123" s="60"/>
      <c r="J123" s="64"/>
      <c r="K123" s="63"/>
      <c r="L123" s="63"/>
    </row>
    <row r="124" spans="1:12" ht="25.5">
      <c r="A124" s="45" t="s">
        <v>222</v>
      </c>
      <c r="B124" s="49" t="s">
        <v>744</v>
      </c>
      <c r="C124" s="48" t="s">
        <v>745</v>
      </c>
      <c r="D124" s="48" t="s">
        <v>746</v>
      </c>
      <c r="I124" s="60"/>
      <c r="J124" s="64"/>
      <c r="K124" s="63"/>
      <c r="L124" s="63"/>
    </row>
    <row r="125" spans="1:12" hidden="1">
      <c r="A125" s="72" t="s">
        <v>747</v>
      </c>
      <c r="B125" s="56" t="s">
        <v>748</v>
      </c>
      <c r="C125" s="55" t="s">
        <v>748</v>
      </c>
      <c r="D125" s="73" t="s">
        <v>34</v>
      </c>
      <c r="I125" s="60"/>
      <c r="J125" s="64"/>
      <c r="K125" s="63"/>
      <c r="L125" s="63"/>
    </row>
    <row r="126" spans="1:12">
      <c r="A126" s="45" t="s">
        <v>229</v>
      </c>
      <c r="B126" s="49" t="s">
        <v>749</v>
      </c>
      <c r="C126" s="48" t="s">
        <v>750</v>
      </c>
      <c r="D126" s="48" t="s">
        <v>751</v>
      </c>
      <c r="I126" s="60"/>
      <c r="J126" s="64"/>
      <c r="K126" s="63"/>
      <c r="L126" s="63"/>
    </row>
    <row r="127" spans="1:12">
      <c r="A127" s="45" t="s">
        <v>233</v>
      </c>
      <c r="B127" s="49" t="s">
        <v>752</v>
      </c>
      <c r="C127" s="48" t="s">
        <v>753</v>
      </c>
      <c r="D127" s="48" t="s">
        <v>754</v>
      </c>
      <c r="I127" s="60"/>
      <c r="J127" s="64"/>
      <c r="K127" s="63"/>
      <c r="L127" s="63"/>
    </row>
    <row r="128" spans="1:12" hidden="1">
      <c r="A128" s="72" t="s">
        <v>755</v>
      </c>
      <c r="B128" s="56" t="s">
        <v>756</v>
      </c>
      <c r="C128" s="55" t="s">
        <v>756</v>
      </c>
      <c r="D128" s="73" t="s">
        <v>34</v>
      </c>
      <c r="I128" s="60"/>
      <c r="J128" s="64"/>
      <c r="K128" s="63"/>
      <c r="L128" s="63"/>
    </row>
    <row r="129" spans="1:12" ht="25.5">
      <c r="A129" s="45" t="s">
        <v>236</v>
      </c>
      <c r="B129" s="49" t="s">
        <v>757</v>
      </c>
      <c r="C129" s="48" t="s">
        <v>758</v>
      </c>
      <c r="D129" s="48" t="s">
        <v>759</v>
      </c>
      <c r="I129" s="60"/>
      <c r="J129" s="64"/>
      <c r="K129" s="63"/>
      <c r="L129" s="63"/>
    </row>
    <row r="130" spans="1:12">
      <c r="A130" s="45" t="s">
        <v>263</v>
      </c>
      <c r="B130" s="49" t="s">
        <v>760</v>
      </c>
      <c r="C130" s="48" t="s">
        <v>761</v>
      </c>
      <c r="D130" s="48" t="s">
        <v>762</v>
      </c>
      <c r="I130" s="60"/>
      <c r="J130" s="64"/>
      <c r="K130" s="63"/>
      <c r="L130" s="63"/>
    </row>
    <row r="131" spans="1:12" ht="15.75" hidden="1" thickBot="1">
      <c r="A131" s="31" t="s">
        <v>763</v>
      </c>
      <c r="B131" s="36" t="s">
        <v>764</v>
      </c>
      <c r="C131" s="37" t="s">
        <v>764</v>
      </c>
      <c r="D131" s="34" t="s">
        <v>34</v>
      </c>
      <c r="I131" s="60"/>
      <c r="J131" s="64"/>
      <c r="K131" s="63"/>
      <c r="L131" s="63"/>
    </row>
    <row r="132" spans="1:12" ht="15.75" hidden="1" thickBot="1">
      <c r="A132" s="31" t="s">
        <v>765</v>
      </c>
      <c r="B132" s="36" t="s">
        <v>766</v>
      </c>
      <c r="C132" s="37" t="s">
        <v>766</v>
      </c>
      <c r="D132" s="34" t="s">
        <v>34</v>
      </c>
      <c r="I132" s="60"/>
      <c r="J132" s="64"/>
      <c r="K132" s="63"/>
      <c r="L132" s="63"/>
    </row>
    <row r="133" spans="1:12" ht="39" hidden="1" thickBot="1">
      <c r="A133" s="31" t="s">
        <v>767</v>
      </c>
      <c r="B133" s="36" t="s">
        <v>768</v>
      </c>
      <c r="C133" s="37" t="s">
        <v>768</v>
      </c>
      <c r="D133" s="34" t="s">
        <v>34</v>
      </c>
      <c r="I133" s="60"/>
      <c r="J133" s="64"/>
      <c r="K133" s="63"/>
      <c r="L133" s="63"/>
    </row>
    <row r="134" spans="1:12" hidden="1">
      <c r="A134" s="72" t="s">
        <v>769</v>
      </c>
      <c r="B134" s="56" t="s">
        <v>770</v>
      </c>
      <c r="C134" s="55" t="s">
        <v>771</v>
      </c>
      <c r="D134" s="73" t="s">
        <v>772</v>
      </c>
      <c r="I134" s="60"/>
      <c r="J134" s="64"/>
      <c r="K134" s="63"/>
      <c r="L134" s="63"/>
    </row>
    <row r="135" spans="1:12">
      <c r="A135" s="45" t="s">
        <v>268</v>
      </c>
      <c r="B135" s="49" t="s">
        <v>773</v>
      </c>
      <c r="C135" s="48" t="s">
        <v>652</v>
      </c>
      <c r="D135" s="48" t="s">
        <v>774</v>
      </c>
      <c r="I135" s="60"/>
      <c r="J135" s="64"/>
      <c r="K135" s="63"/>
      <c r="L135" s="63"/>
    </row>
    <row r="136" spans="1:12" ht="15.75" hidden="1" thickBot="1">
      <c r="A136" s="31" t="s">
        <v>775</v>
      </c>
      <c r="B136" s="36" t="s">
        <v>776</v>
      </c>
      <c r="C136" s="37" t="s">
        <v>776</v>
      </c>
      <c r="D136" s="34" t="s">
        <v>34</v>
      </c>
      <c r="I136" s="60"/>
      <c r="J136" s="64"/>
      <c r="K136" s="63"/>
      <c r="L136" s="63"/>
    </row>
    <row r="137" spans="1:12" ht="26.25" hidden="1" thickBot="1">
      <c r="A137" s="31" t="s">
        <v>777</v>
      </c>
      <c r="B137" s="36" t="s">
        <v>778</v>
      </c>
      <c r="C137" s="37" t="s">
        <v>778</v>
      </c>
      <c r="D137" s="34" t="s">
        <v>34</v>
      </c>
      <c r="I137" s="60"/>
      <c r="J137" s="64"/>
      <c r="K137" s="63"/>
      <c r="L137" s="63"/>
    </row>
    <row r="138" spans="1:12" hidden="1">
      <c r="A138" s="72" t="s">
        <v>779</v>
      </c>
      <c r="B138" s="56" t="s">
        <v>780</v>
      </c>
      <c r="C138" s="55" t="s">
        <v>781</v>
      </c>
      <c r="D138" s="73" t="s">
        <v>782</v>
      </c>
      <c r="I138" s="60"/>
      <c r="J138" s="64"/>
      <c r="K138" s="63"/>
      <c r="L138" s="63"/>
    </row>
    <row r="139" spans="1:12">
      <c r="A139" s="45" t="s">
        <v>272</v>
      </c>
      <c r="B139" s="49" t="s">
        <v>783</v>
      </c>
      <c r="C139" s="48" t="s">
        <v>784</v>
      </c>
      <c r="D139" s="48" t="s">
        <v>785</v>
      </c>
      <c r="I139" s="60"/>
      <c r="J139" s="64"/>
      <c r="K139" s="63"/>
      <c r="L139" s="63"/>
    </row>
    <row r="140" spans="1:12" ht="15.75" hidden="1" thickBot="1">
      <c r="A140" s="31" t="s">
        <v>786</v>
      </c>
      <c r="B140" s="36" t="s">
        <v>787</v>
      </c>
      <c r="C140" s="37" t="s">
        <v>787</v>
      </c>
      <c r="D140" s="34" t="s">
        <v>34</v>
      </c>
      <c r="I140" s="60"/>
      <c r="J140" s="64"/>
      <c r="K140" s="63"/>
      <c r="L140" s="63"/>
    </row>
    <row r="141" spans="1:12" ht="15.75" hidden="1" thickBot="1">
      <c r="A141" s="31" t="s">
        <v>788</v>
      </c>
      <c r="B141" s="36" t="s">
        <v>789</v>
      </c>
      <c r="C141" s="37" t="s">
        <v>789</v>
      </c>
      <c r="D141" s="34" t="s">
        <v>34</v>
      </c>
      <c r="I141" s="60"/>
      <c r="J141" s="64"/>
      <c r="K141" s="63"/>
      <c r="L141" s="63"/>
    </row>
    <row r="142" spans="1:12" ht="15.75" hidden="1" thickBot="1">
      <c r="A142" s="31" t="s">
        <v>790</v>
      </c>
      <c r="B142" s="36" t="s">
        <v>791</v>
      </c>
      <c r="C142" s="37" t="s">
        <v>792</v>
      </c>
      <c r="D142" s="34" t="s">
        <v>793</v>
      </c>
      <c r="I142" s="60"/>
      <c r="J142" s="64"/>
      <c r="K142" s="63"/>
      <c r="L142" s="63"/>
    </row>
    <row r="143" spans="1:12" hidden="1">
      <c r="A143" s="72" t="s">
        <v>794</v>
      </c>
      <c r="B143" s="56" t="s">
        <v>795</v>
      </c>
      <c r="C143" s="55" t="s">
        <v>795</v>
      </c>
      <c r="D143" s="73" t="s">
        <v>34</v>
      </c>
      <c r="I143" s="60"/>
      <c r="J143" s="64"/>
      <c r="K143" s="63"/>
      <c r="L143" s="63"/>
    </row>
    <row r="144" spans="1:12">
      <c r="A144" s="45" t="s">
        <v>285</v>
      </c>
      <c r="B144" s="49" t="s">
        <v>796</v>
      </c>
      <c r="C144" s="48" t="s">
        <v>34</v>
      </c>
      <c r="D144" s="48" t="s">
        <v>796</v>
      </c>
      <c r="I144" s="60"/>
      <c r="J144" s="64"/>
      <c r="K144" s="63"/>
      <c r="L144" s="63"/>
    </row>
    <row r="145" spans="1:12" hidden="1">
      <c r="A145" s="72" t="s">
        <v>797</v>
      </c>
      <c r="B145" s="56" t="s">
        <v>798</v>
      </c>
      <c r="C145" s="55" t="s">
        <v>798</v>
      </c>
      <c r="D145" s="73" t="s">
        <v>34</v>
      </c>
      <c r="I145" s="60"/>
      <c r="J145" s="64"/>
      <c r="K145" s="63"/>
      <c r="L145" s="63"/>
    </row>
    <row r="146" spans="1:12" ht="25.5">
      <c r="A146" s="45" t="s">
        <v>289</v>
      </c>
      <c r="B146" s="49" t="s">
        <v>799</v>
      </c>
      <c r="C146" s="48" t="s">
        <v>800</v>
      </c>
      <c r="D146" s="48" t="s">
        <v>801</v>
      </c>
      <c r="I146" s="60"/>
      <c r="J146" s="64"/>
      <c r="K146" s="63"/>
      <c r="L146" s="63"/>
    </row>
    <row r="147" spans="1:12" hidden="1">
      <c r="A147" s="72" t="s">
        <v>802</v>
      </c>
      <c r="B147" s="56" t="s">
        <v>803</v>
      </c>
      <c r="C147" s="55" t="s">
        <v>803</v>
      </c>
      <c r="D147" s="73" t="s">
        <v>34</v>
      </c>
      <c r="I147" s="60"/>
      <c r="J147" s="64"/>
      <c r="K147" s="63"/>
      <c r="L147" s="63"/>
    </row>
    <row r="148" spans="1:12" ht="25.5">
      <c r="A148" s="45" t="s">
        <v>296</v>
      </c>
      <c r="B148" s="49" t="s">
        <v>804</v>
      </c>
      <c r="C148" s="48" t="s">
        <v>805</v>
      </c>
      <c r="D148" s="48" t="s">
        <v>806</v>
      </c>
      <c r="I148" s="60"/>
      <c r="J148" s="64"/>
      <c r="K148" s="63"/>
      <c r="L148" s="63"/>
    </row>
    <row r="149" spans="1:12" hidden="1">
      <c r="A149" s="72" t="s">
        <v>807</v>
      </c>
      <c r="B149" s="56" t="s">
        <v>808</v>
      </c>
      <c r="C149" s="55" t="s">
        <v>808</v>
      </c>
      <c r="D149" s="73" t="s">
        <v>34</v>
      </c>
      <c r="I149" s="60"/>
      <c r="J149" s="64"/>
      <c r="K149" s="63"/>
      <c r="L149" s="63"/>
    </row>
    <row r="150" spans="1:12">
      <c r="A150" s="45" t="s">
        <v>303</v>
      </c>
      <c r="B150" s="49" t="s">
        <v>809</v>
      </c>
      <c r="C150" s="48" t="s">
        <v>810</v>
      </c>
      <c r="D150" s="48" t="s">
        <v>811</v>
      </c>
      <c r="I150" s="60"/>
      <c r="J150" s="64"/>
      <c r="K150" s="63"/>
      <c r="L150" s="63"/>
    </row>
    <row r="151" spans="1:12">
      <c r="A151" s="45" t="s">
        <v>308</v>
      </c>
      <c r="B151" s="49" t="s">
        <v>812</v>
      </c>
      <c r="C151" s="48" t="s">
        <v>813</v>
      </c>
      <c r="D151" s="48" t="s">
        <v>814</v>
      </c>
      <c r="I151" s="60"/>
      <c r="J151" s="64"/>
      <c r="K151" s="63"/>
      <c r="L151" s="63"/>
    </row>
    <row r="152" spans="1:12" ht="30" hidden="1">
      <c r="A152" s="74" t="s">
        <v>815</v>
      </c>
      <c r="B152" s="57" t="s">
        <v>816</v>
      </c>
      <c r="C152" s="58" t="s">
        <v>816</v>
      </c>
      <c r="D152" s="73" t="s">
        <v>34</v>
      </c>
      <c r="I152" s="65"/>
      <c r="J152" s="66"/>
      <c r="K152" s="67"/>
      <c r="L152" s="63"/>
    </row>
    <row r="153" spans="1:12" ht="28.5">
      <c r="A153" s="50" t="s">
        <v>313</v>
      </c>
      <c r="B153" s="51" t="s">
        <v>817</v>
      </c>
      <c r="C153" s="52" t="s">
        <v>316</v>
      </c>
      <c r="D153" s="48" t="s">
        <v>818</v>
      </c>
      <c r="I153" s="65"/>
      <c r="J153" s="66"/>
      <c r="K153" s="67"/>
      <c r="L153" s="63"/>
    </row>
    <row r="154" spans="1:12" ht="30.75" hidden="1" thickBot="1">
      <c r="A154" s="38" t="s">
        <v>819</v>
      </c>
      <c r="B154" s="39" t="s">
        <v>820</v>
      </c>
      <c r="C154" s="40" t="s">
        <v>821</v>
      </c>
      <c r="D154" s="34" t="s">
        <v>822</v>
      </c>
      <c r="I154" s="65"/>
      <c r="J154" s="66"/>
      <c r="K154" s="67"/>
      <c r="L154" s="63"/>
    </row>
    <row r="155" spans="1:12" ht="30.75" hidden="1" thickBot="1">
      <c r="A155" s="38" t="s">
        <v>823</v>
      </c>
      <c r="B155" s="39" t="s">
        <v>824</v>
      </c>
      <c r="C155" s="40" t="s">
        <v>824</v>
      </c>
      <c r="D155" s="34" t="s">
        <v>34</v>
      </c>
      <c r="I155" s="65"/>
      <c r="J155" s="66"/>
      <c r="K155" s="67"/>
      <c r="L155" s="63"/>
    </row>
    <row r="156" spans="1:12" ht="30" hidden="1">
      <c r="A156" s="74" t="s">
        <v>825</v>
      </c>
      <c r="B156" s="57" t="s">
        <v>826</v>
      </c>
      <c r="C156" s="58" t="s">
        <v>827</v>
      </c>
      <c r="D156" s="73" t="s">
        <v>828</v>
      </c>
      <c r="I156" s="65"/>
      <c r="J156" s="66"/>
      <c r="K156" s="67"/>
      <c r="L156" s="63"/>
    </row>
    <row r="157" spans="1:12">
      <c r="A157" s="50" t="s">
        <v>317</v>
      </c>
      <c r="B157" s="51" t="s">
        <v>829</v>
      </c>
      <c r="C157" s="52" t="s">
        <v>34</v>
      </c>
      <c r="D157" s="48" t="s">
        <v>829</v>
      </c>
      <c r="I157" s="65"/>
      <c r="J157" s="66"/>
      <c r="K157" s="67"/>
      <c r="L157" s="63"/>
    </row>
    <row r="158" spans="1:12" ht="28.5" hidden="1">
      <c r="A158" s="74" t="s">
        <v>830</v>
      </c>
      <c r="B158" s="57" t="s">
        <v>831</v>
      </c>
      <c r="C158" s="58" t="s">
        <v>832</v>
      </c>
      <c r="D158" s="73" t="s">
        <v>833</v>
      </c>
      <c r="I158" s="65"/>
      <c r="J158" s="66"/>
      <c r="K158" s="67"/>
      <c r="L158" s="63"/>
    </row>
    <row r="159" spans="1:12" ht="42.75">
      <c r="A159" s="50" t="s">
        <v>320</v>
      </c>
      <c r="B159" s="51" t="s">
        <v>834</v>
      </c>
      <c r="C159" s="52" t="s">
        <v>835</v>
      </c>
      <c r="D159" s="48" t="s">
        <v>836</v>
      </c>
      <c r="I159" s="65"/>
      <c r="J159" s="66"/>
      <c r="K159" s="67"/>
      <c r="L159" s="63"/>
    </row>
    <row r="160" spans="1:12" ht="29.25" hidden="1" thickBot="1">
      <c r="A160" s="38" t="s">
        <v>837</v>
      </c>
      <c r="B160" s="39" t="s">
        <v>838</v>
      </c>
      <c r="C160" s="40" t="s">
        <v>839</v>
      </c>
      <c r="D160" s="34" t="s">
        <v>840</v>
      </c>
      <c r="I160" s="65"/>
      <c r="J160" s="66"/>
      <c r="K160" s="67"/>
      <c r="L160" s="63"/>
    </row>
    <row r="161" spans="1:12" ht="28.5" hidden="1">
      <c r="A161" s="74" t="s">
        <v>841</v>
      </c>
      <c r="B161" s="57" t="s">
        <v>842</v>
      </c>
      <c r="C161" s="58" t="s">
        <v>842</v>
      </c>
      <c r="D161" s="73" t="s">
        <v>34</v>
      </c>
      <c r="I161" s="65"/>
      <c r="J161" s="66"/>
      <c r="K161" s="67"/>
      <c r="L161" s="63"/>
    </row>
    <row r="162" spans="1:12">
      <c r="A162" s="50" t="s">
        <v>329</v>
      </c>
      <c r="B162" s="51" t="s">
        <v>843</v>
      </c>
      <c r="C162" s="52" t="s">
        <v>34</v>
      </c>
      <c r="D162" s="48" t="s">
        <v>843</v>
      </c>
      <c r="I162" s="65"/>
      <c r="J162" s="66"/>
      <c r="K162" s="67"/>
      <c r="L162" s="63"/>
    </row>
    <row r="163" spans="1:12" ht="29.25" hidden="1" thickBot="1">
      <c r="A163" s="38" t="s">
        <v>844</v>
      </c>
      <c r="B163" s="39" t="s">
        <v>845</v>
      </c>
      <c r="C163" s="40" t="s">
        <v>845</v>
      </c>
      <c r="D163" s="34" t="s">
        <v>34</v>
      </c>
      <c r="I163" s="65"/>
      <c r="J163" s="66"/>
      <c r="K163" s="67"/>
      <c r="L163" s="63"/>
    </row>
    <row r="164" spans="1:12" ht="28.5" hidden="1">
      <c r="A164" s="74" t="s">
        <v>846</v>
      </c>
      <c r="B164" s="57" t="s">
        <v>847</v>
      </c>
      <c r="C164" s="58" t="s">
        <v>847</v>
      </c>
      <c r="D164" s="73" t="s">
        <v>34</v>
      </c>
      <c r="I164" s="65"/>
      <c r="J164" s="66"/>
      <c r="K164" s="67"/>
      <c r="L164" s="63"/>
    </row>
    <row r="165" spans="1:12">
      <c r="A165" s="50" t="s">
        <v>333</v>
      </c>
      <c r="B165" s="51" t="s">
        <v>848</v>
      </c>
      <c r="C165" s="52" t="s">
        <v>34</v>
      </c>
      <c r="D165" s="48" t="s">
        <v>848</v>
      </c>
      <c r="I165" s="65"/>
      <c r="J165" s="66"/>
      <c r="K165" s="67"/>
      <c r="L165" s="63"/>
    </row>
    <row r="166" spans="1:12" ht="29.25" hidden="1" thickBot="1">
      <c r="A166" s="38" t="s">
        <v>849</v>
      </c>
      <c r="B166" s="39" t="s">
        <v>850</v>
      </c>
      <c r="C166" s="40" t="s">
        <v>850</v>
      </c>
      <c r="D166" s="34" t="s">
        <v>34</v>
      </c>
      <c r="I166" s="65"/>
      <c r="J166" s="66"/>
      <c r="K166" s="67"/>
      <c r="L166" s="63"/>
    </row>
    <row r="167" spans="1:12" ht="30.75" hidden="1" thickBot="1">
      <c r="A167" s="38" t="s">
        <v>851</v>
      </c>
      <c r="B167" s="39" t="s">
        <v>852</v>
      </c>
      <c r="C167" s="40" t="s">
        <v>853</v>
      </c>
      <c r="D167" s="34" t="s">
        <v>854</v>
      </c>
      <c r="I167" s="65"/>
      <c r="J167" s="66"/>
      <c r="K167" s="67"/>
      <c r="L167" s="63"/>
    </row>
    <row r="168" spans="1:12" ht="30.75" hidden="1" thickBot="1">
      <c r="A168" s="38" t="s">
        <v>855</v>
      </c>
      <c r="B168" s="39" t="s">
        <v>856</v>
      </c>
      <c r="C168" s="40" t="s">
        <v>857</v>
      </c>
      <c r="D168" s="34" t="s">
        <v>858</v>
      </c>
      <c r="I168" s="65"/>
      <c r="J168" s="66"/>
      <c r="K168" s="67"/>
      <c r="L168" s="63"/>
    </row>
    <row r="169" spans="1:12" ht="29.25" hidden="1" thickBot="1">
      <c r="A169" s="38" t="s">
        <v>859</v>
      </c>
      <c r="B169" s="39" t="s">
        <v>860</v>
      </c>
      <c r="C169" s="40" t="s">
        <v>860</v>
      </c>
      <c r="D169" s="34" t="s">
        <v>34</v>
      </c>
      <c r="I169" s="65"/>
      <c r="J169" s="66"/>
      <c r="K169" s="67"/>
      <c r="L169" s="63"/>
    </row>
    <row r="170" spans="1:12" ht="30.75" hidden="1" thickBot="1">
      <c r="A170" s="38" t="s">
        <v>861</v>
      </c>
      <c r="B170" s="39" t="s">
        <v>862</v>
      </c>
      <c r="C170" s="40" t="s">
        <v>863</v>
      </c>
      <c r="D170" s="34" t="s">
        <v>864</v>
      </c>
      <c r="I170" s="65"/>
      <c r="J170" s="66"/>
      <c r="K170" s="67"/>
      <c r="L170" s="63"/>
    </row>
    <row r="171" spans="1:12" ht="43.5" hidden="1" thickBot="1">
      <c r="A171" s="38" t="s">
        <v>865</v>
      </c>
      <c r="B171" s="39" t="s">
        <v>866</v>
      </c>
      <c r="C171" s="40" t="s">
        <v>866</v>
      </c>
      <c r="D171" s="34" t="s">
        <v>34</v>
      </c>
      <c r="I171" s="65"/>
      <c r="J171" s="66"/>
      <c r="K171" s="67"/>
      <c r="L171" s="63"/>
    </row>
    <row r="172" spans="1:12" ht="29.25" hidden="1" thickBot="1">
      <c r="A172" s="38" t="s">
        <v>867</v>
      </c>
      <c r="B172" s="39" t="s">
        <v>868</v>
      </c>
      <c r="C172" s="40" t="s">
        <v>868</v>
      </c>
      <c r="D172" s="34" t="s">
        <v>34</v>
      </c>
      <c r="I172" s="65"/>
      <c r="J172" s="66"/>
      <c r="K172" s="67"/>
      <c r="L172" s="63"/>
    </row>
    <row r="173" spans="1:12" ht="28.5" hidden="1">
      <c r="A173" s="74" t="s">
        <v>869</v>
      </c>
      <c r="B173" s="57" t="s">
        <v>870</v>
      </c>
      <c r="C173" s="58" t="s">
        <v>870</v>
      </c>
      <c r="D173" s="73" t="s">
        <v>34</v>
      </c>
      <c r="I173" s="65"/>
      <c r="J173" s="66"/>
      <c r="K173" s="67"/>
      <c r="L173" s="63"/>
    </row>
    <row r="174" spans="1:12" ht="30">
      <c r="A174" s="50" t="s">
        <v>337</v>
      </c>
      <c r="B174" s="51" t="s">
        <v>871</v>
      </c>
      <c r="C174" s="52" t="s">
        <v>34</v>
      </c>
      <c r="D174" s="48" t="s">
        <v>871</v>
      </c>
      <c r="I174" s="65"/>
      <c r="J174" s="66"/>
      <c r="K174" s="67"/>
      <c r="L174" s="63"/>
    </row>
    <row r="175" spans="1:12" ht="30">
      <c r="A175" s="50" t="s">
        <v>342</v>
      </c>
      <c r="B175" s="51" t="s">
        <v>872</v>
      </c>
      <c r="C175" s="52" t="s">
        <v>34</v>
      </c>
      <c r="D175" s="48" t="s">
        <v>872</v>
      </c>
      <c r="I175" s="65"/>
      <c r="J175" s="66"/>
      <c r="K175" s="67"/>
      <c r="L175" s="63"/>
    </row>
    <row r="176" spans="1:12" ht="28.5">
      <c r="A176" s="50" t="s">
        <v>355</v>
      </c>
      <c r="B176" s="51" t="s">
        <v>873</v>
      </c>
      <c r="C176" s="52" t="s">
        <v>874</v>
      </c>
      <c r="D176" s="48" t="s">
        <v>875</v>
      </c>
      <c r="I176" s="65"/>
      <c r="J176" s="66"/>
      <c r="K176" s="67"/>
      <c r="L176" s="63"/>
    </row>
    <row r="177" spans="1:12" ht="42.75" hidden="1">
      <c r="A177" s="74" t="s">
        <v>876</v>
      </c>
      <c r="B177" s="57" t="s">
        <v>877</v>
      </c>
      <c r="C177" s="58" t="s">
        <v>877</v>
      </c>
      <c r="D177" s="73" t="s">
        <v>34</v>
      </c>
      <c r="I177" s="65"/>
      <c r="J177" s="66"/>
      <c r="K177" s="67"/>
      <c r="L177" s="63"/>
    </row>
    <row r="178" spans="1:12" ht="28.5">
      <c r="A178" s="50" t="s">
        <v>878</v>
      </c>
      <c r="B178" s="51" t="s">
        <v>879</v>
      </c>
      <c r="C178" s="52" t="s">
        <v>880</v>
      </c>
      <c r="D178" s="48" t="s">
        <v>881</v>
      </c>
      <c r="I178" s="65"/>
      <c r="J178" s="66"/>
      <c r="K178" s="67"/>
      <c r="L178" s="63"/>
    </row>
    <row r="179" spans="1:12" ht="30.75" hidden="1" thickBot="1">
      <c r="A179" s="38" t="s">
        <v>882</v>
      </c>
      <c r="B179" s="39" t="s">
        <v>883</v>
      </c>
      <c r="C179" s="40" t="s">
        <v>883</v>
      </c>
      <c r="D179" s="34" t="s">
        <v>34</v>
      </c>
      <c r="I179" s="65"/>
      <c r="J179" s="66"/>
      <c r="K179" s="67"/>
      <c r="L179" s="63"/>
    </row>
    <row r="180" spans="1:12" ht="30" hidden="1">
      <c r="A180" s="74" t="s">
        <v>884</v>
      </c>
      <c r="B180" s="57" t="s">
        <v>885</v>
      </c>
      <c r="C180" s="58" t="s">
        <v>885</v>
      </c>
      <c r="D180" s="73" t="s">
        <v>34</v>
      </c>
      <c r="I180" s="65"/>
      <c r="J180" s="66"/>
      <c r="K180" s="67"/>
      <c r="L180" s="63"/>
    </row>
    <row r="181" spans="1:12" ht="30">
      <c r="A181" s="50" t="s">
        <v>366</v>
      </c>
      <c r="B181" s="51" t="s">
        <v>886</v>
      </c>
      <c r="C181" s="52" t="s">
        <v>34</v>
      </c>
      <c r="D181" s="48" t="s">
        <v>886</v>
      </c>
      <c r="I181" s="65"/>
      <c r="J181" s="66"/>
      <c r="K181" s="67"/>
      <c r="L181" s="63"/>
    </row>
    <row r="182" spans="1:12" ht="30">
      <c r="A182" s="50" t="s">
        <v>382</v>
      </c>
      <c r="B182" s="51" t="s">
        <v>887</v>
      </c>
      <c r="C182" s="52" t="s">
        <v>888</v>
      </c>
      <c r="D182" s="48" t="s">
        <v>889</v>
      </c>
      <c r="I182" s="65"/>
      <c r="J182" s="66"/>
      <c r="K182" s="67"/>
      <c r="L182" s="63"/>
    </row>
    <row r="183" spans="1:12" ht="30.75" hidden="1" thickBot="1">
      <c r="A183" s="38" t="s">
        <v>890</v>
      </c>
      <c r="B183" s="39" t="s">
        <v>891</v>
      </c>
      <c r="C183" s="40" t="s">
        <v>891</v>
      </c>
      <c r="D183" s="34" t="s">
        <v>34</v>
      </c>
      <c r="I183" s="65"/>
      <c r="J183" s="66"/>
      <c r="K183" s="67"/>
      <c r="L183" s="63"/>
    </row>
    <row r="184" spans="1:12" ht="30.75" hidden="1" thickBot="1">
      <c r="A184" s="38" t="s">
        <v>892</v>
      </c>
      <c r="B184" s="39" t="s">
        <v>893</v>
      </c>
      <c r="C184" s="40" t="s">
        <v>893</v>
      </c>
      <c r="D184" s="34" t="s">
        <v>34</v>
      </c>
      <c r="I184" s="65"/>
      <c r="J184" s="66"/>
      <c r="K184" s="67"/>
      <c r="L184" s="63"/>
    </row>
    <row r="185" spans="1:12" ht="30.75" hidden="1" thickBot="1">
      <c r="A185" s="38" t="s">
        <v>894</v>
      </c>
      <c r="B185" s="39" t="s">
        <v>895</v>
      </c>
      <c r="C185" s="40" t="s">
        <v>895</v>
      </c>
      <c r="D185" s="34" t="s">
        <v>34</v>
      </c>
      <c r="I185" s="65"/>
      <c r="J185" s="66"/>
      <c r="K185" s="67"/>
      <c r="L185" s="63"/>
    </row>
    <row r="186" spans="1:12" ht="30.75" hidden="1" thickBot="1">
      <c r="A186" s="38" t="s">
        <v>896</v>
      </c>
      <c r="B186" s="39" t="s">
        <v>897</v>
      </c>
      <c r="C186" s="40" t="s">
        <v>897</v>
      </c>
      <c r="D186" s="34" t="s">
        <v>34</v>
      </c>
      <c r="I186" s="65"/>
      <c r="J186" s="66"/>
      <c r="K186" s="67"/>
      <c r="L186" s="63"/>
    </row>
    <row r="187" spans="1:12" ht="29.25" hidden="1" thickBot="1">
      <c r="A187" s="38" t="s">
        <v>898</v>
      </c>
      <c r="B187" s="39" t="s">
        <v>899</v>
      </c>
      <c r="C187" s="40" t="s">
        <v>900</v>
      </c>
      <c r="D187" s="34" t="s">
        <v>901</v>
      </c>
      <c r="I187" s="65"/>
      <c r="J187" s="66"/>
      <c r="K187" s="67"/>
      <c r="L187" s="63"/>
    </row>
    <row r="188" spans="1:12" ht="30.75" hidden="1" thickBot="1">
      <c r="A188" s="38" t="s">
        <v>902</v>
      </c>
      <c r="B188" s="39" t="s">
        <v>903</v>
      </c>
      <c r="C188" s="40" t="s">
        <v>904</v>
      </c>
      <c r="D188" s="34" t="s">
        <v>905</v>
      </c>
      <c r="I188" s="65"/>
      <c r="J188" s="66"/>
      <c r="K188" s="67"/>
      <c r="L188" s="63"/>
    </row>
    <row r="189" spans="1:12" ht="30" hidden="1">
      <c r="A189" s="74" t="s">
        <v>906</v>
      </c>
      <c r="B189" s="57" t="s">
        <v>907</v>
      </c>
      <c r="C189" s="58" t="s">
        <v>907</v>
      </c>
      <c r="D189" s="73" t="s">
        <v>34</v>
      </c>
      <c r="I189" s="65"/>
      <c r="J189" s="66"/>
      <c r="K189" s="67"/>
      <c r="L189" s="63"/>
    </row>
    <row r="190" spans="1:12" ht="30">
      <c r="A190" s="50" t="s">
        <v>387</v>
      </c>
      <c r="B190" s="51" t="s">
        <v>908</v>
      </c>
      <c r="C190" s="52" t="s">
        <v>34</v>
      </c>
      <c r="D190" s="48" t="s">
        <v>908</v>
      </c>
      <c r="I190" s="65"/>
      <c r="J190" s="66"/>
      <c r="K190" s="67"/>
      <c r="L190" s="63"/>
    </row>
    <row r="191" spans="1:12" ht="29.25" hidden="1" thickBot="1">
      <c r="A191" s="38" t="s">
        <v>909</v>
      </c>
      <c r="B191" s="39" t="s">
        <v>910</v>
      </c>
      <c r="C191" s="40" t="s">
        <v>910</v>
      </c>
      <c r="D191" s="34" t="s">
        <v>34</v>
      </c>
      <c r="I191" s="65"/>
      <c r="J191" s="66"/>
      <c r="K191" s="67"/>
      <c r="L191" s="63"/>
    </row>
    <row r="192" spans="1:12" ht="28.5" hidden="1">
      <c r="A192" s="74" t="s">
        <v>911</v>
      </c>
      <c r="B192" s="57" t="s">
        <v>912</v>
      </c>
      <c r="C192" s="58" t="s">
        <v>912</v>
      </c>
      <c r="D192" s="73" t="s">
        <v>34</v>
      </c>
      <c r="I192" s="65"/>
      <c r="J192" s="66"/>
      <c r="K192" s="67"/>
      <c r="L192" s="63"/>
    </row>
    <row r="193" spans="1:12" ht="28.5">
      <c r="A193" s="50" t="s">
        <v>913</v>
      </c>
      <c r="B193" s="51" t="s">
        <v>914</v>
      </c>
      <c r="C193" s="52" t="s">
        <v>915</v>
      </c>
      <c r="D193" s="48" t="s">
        <v>916</v>
      </c>
      <c r="I193" s="65"/>
      <c r="J193" s="66"/>
      <c r="K193" s="67"/>
      <c r="L193" s="63"/>
    </row>
    <row r="194" spans="1:12" ht="30.75" hidden="1" thickBot="1">
      <c r="A194" s="38" t="s">
        <v>917</v>
      </c>
      <c r="B194" s="39" t="s">
        <v>918</v>
      </c>
      <c r="C194" s="40" t="s">
        <v>918</v>
      </c>
      <c r="D194" s="34" t="s">
        <v>34</v>
      </c>
      <c r="I194" s="65"/>
      <c r="J194" s="66"/>
      <c r="K194" s="67"/>
      <c r="L194" s="63"/>
    </row>
    <row r="195" spans="1:12" ht="30.75" hidden="1" thickBot="1">
      <c r="A195" s="38" t="s">
        <v>919</v>
      </c>
      <c r="B195" s="39" t="s">
        <v>920</v>
      </c>
      <c r="C195" s="40" t="s">
        <v>920</v>
      </c>
      <c r="D195" s="34" t="s">
        <v>34</v>
      </c>
      <c r="I195" s="65"/>
      <c r="J195" s="66"/>
      <c r="K195" s="67"/>
      <c r="L195" s="63"/>
    </row>
    <row r="196" spans="1:12" ht="30.75" hidden="1" thickBot="1">
      <c r="A196" s="38" t="s">
        <v>921</v>
      </c>
      <c r="B196" s="39" t="s">
        <v>922</v>
      </c>
      <c r="C196" s="40" t="s">
        <v>922</v>
      </c>
      <c r="D196" s="34" t="s">
        <v>34</v>
      </c>
      <c r="I196" s="65"/>
      <c r="J196" s="66"/>
      <c r="K196" s="67"/>
      <c r="L196" s="63"/>
    </row>
    <row r="197" spans="1:12" ht="29.25" hidden="1" thickBot="1">
      <c r="A197" s="38" t="s">
        <v>923</v>
      </c>
      <c r="B197" s="39" t="s">
        <v>924</v>
      </c>
      <c r="C197" s="40" t="s">
        <v>924</v>
      </c>
      <c r="D197" s="34" t="s">
        <v>34</v>
      </c>
      <c r="I197" s="65"/>
      <c r="J197" s="66"/>
      <c r="K197" s="67"/>
      <c r="L197" s="63"/>
    </row>
    <row r="198" spans="1:12" ht="29.25" hidden="1" thickBot="1">
      <c r="A198" s="38" t="s">
        <v>925</v>
      </c>
      <c r="B198" s="39" t="s">
        <v>926</v>
      </c>
      <c r="C198" s="40" t="s">
        <v>926</v>
      </c>
      <c r="D198" s="34" t="s">
        <v>34</v>
      </c>
      <c r="I198" s="65"/>
      <c r="J198" s="66"/>
      <c r="K198" s="67"/>
      <c r="L198" s="63"/>
    </row>
    <row r="199" spans="1:12" ht="29.25" hidden="1" thickBot="1">
      <c r="A199" s="38" t="s">
        <v>927</v>
      </c>
      <c r="B199" s="39" t="s">
        <v>928</v>
      </c>
      <c r="C199" s="40" t="s">
        <v>928</v>
      </c>
      <c r="D199" s="34" t="s">
        <v>34</v>
      </c>
      <c r="I199" s="65"/>
      <c r="J199" s="66"/>
      <c r="K199" s="67"/>
      <c r="L199" s="63"/>
    </row>
    <row r="200" spans="1:12" ht="29.25" hidden="1" thickBot="1">
      <c r="A200" s="38" t="s">
        <v>929</v>
      </c>
      <c r="B200" s="39" t="s">
        <v>930</v>
      </c>
      <c r="C200" s="40" t="s">
        <v>930</v>
      </c>
      <c r="D200" s="34" t="s">
        <v>34</v>
      </c>
      <c r="I200" s="65"/>
      <c r="J200" s="66"/>
      <c r="K200" s="67"/>
      <c r="L200" s="63"/>
    </row>
    <row r="201" spans="1:12" ht="28.5" hidden="1">
      <c r="A201" s="74" t="s">
        <v>931</v>
      </c>
      <c r="B201" s="57" t="s">
        <v>932</v>
      </c>
      <c r="C201" s="58" t="s">
        <v>932</v>
      </c>
      <c r="D201" s="73" t="s">
        <v>34</v>
      </c>
      <c r="I201" s="65"/>
      <c r="J201" s="66"/>
      <c r="K201" s="67"/>
      <c r="L201" s="63"/>
    </row>
    <row r="202" spans="1:12" ht="28.5">
      <c r="A202" s="50" t="s">
        <v>390</v>
      </c>
      <c r="B202" s="51" t="s">
        <v>933</v>
      </c>
      <c r="C202" s="52" t="s">
        <v>934</v>
      </c>
      <c r="D202" s="48" t="s">
        <v>935</v>
      </c>
      <c r="I202" s="65"/>
      <c r="J202" s="66"/>
      <c r="K202" s="67"/>
      <c r="L202" s="63"/>
    </row>
    <row r="203" spans="1:12" ht="30" hidden="1">
      <c r="A203" s="74" t="s">
        <v>936</v>
      </c>
      <c r="B203" s="57" t="s">
        <v>937</v>
      </c>
      <c r="C203" s="58" t="s">
        <v>937</v>
      </c>
      <c r="D203" s="73" t="s">
        <v>34</v>
      </c>
      <c r="I203" s="65"/>
      <c r="J203" s="66"/>
      <c r="K203" s="67"/>
      <c r="L203" s="63"/>
    </row>
    <row r="204" spans="1:12" ht="30">
      <c r="A204" s="50" t="s">
        <v>393</v>
      </c>
      <c r="B204" s="51" t="s">
        <v>938</v>
      </c>
      <c r="C204" s="52" t="s">
        <v>939</v>
      </c>
      <c r="D204" s="48" t="s">
        <v>940</v>
      </c>
      <c r="I204" s="65"/>
      <c r="J204" s="66"/>
      <c r="K204" s="67"/>
      <c r="L204" s="63"/>
    </row>
    <row r="205" spans="1:12" ht="30" hidden="1">
      <c r="A205" s="74" t="s">
        <v>941</v>
      </c>
      <c r="B205" s="57" t="s">
        <v>942</v>
      </c>
      <c r="C205" s="58" t="s">
        <v>943</v>
      </c>
      <c r="D205" s="73" t="s">
        <v>944</v>
      </c>
      <c r="I205" s="65"/>
      <c r="J205" s="66"/>
      <c r="K205" s="67"/>
      <c r="L205" s="63"/>
    </row>
    <row r="206" spans="1:12">
      <c r="A206" s="50" t="s">
        <v>403</v>
      </c>
      <c r="B206" s="51" t="s">
        <v>945</v>
      </c>
      <c r="C206" s="52" t="s">
        <v>34</v>
      </c>
      <c r="D206" s="48" t="s">
        <v>945</v>
      </c>
      <c r="I206" s="65"/>
      <c r="J206" s="66"/>
      <c r="K206" s="67"/>
      <c r="L206" s="63"/>
    </row>
    <row r="207" spans="1:12" ht="29.25" hidden="1" thickBot="1">
      <c r="A207" s="38" t="s">
        <v>946</v>
      </c>
      <c r="B207" s="39" t="s">
        <v>947</v>
      </c>
      <c r="C207" s="40" t="s">
        <v>947</v>
      </c>
      <c r="D207" s="34" t="s">
        <v>34</v>
      </c>
      <c r="I207" s="65"/>
      <c r="J207" s="66"/>
      <c r="K207" s="67"/>
      <c r="L207" s="63"/>
    </row>
    <row r="208" spans="1:12" ht="29.25" hidden="1" thickBot="1">
      <c r="A208" s="38" t="s">
        <v>948</v>
      </c>
      <c r="B208" s="39" t="s">
        <v>949</v>
      </c>
      <c r="C208" s="40" t="s">
        <v>949</v>
      </c>
      <c r="D208" s="34" t="s">
        <v>34</v>
      </c>
      <c r="I208" s="65"/>
      <c r="J208" s="66"/>
      <c r="K208" s="67"/>
      <c r="L208" s="63"/>
    </row>
    <row r="209" spans="1:12" ht="28.5" hidden="1">
      <c r="A209" s="74" t="s">
        <v>950</v>
      </c>
      <c r="B209" s="57" t="s">
        <v>951</v>
      </c>
      <c r="C209" s="58" t="s">
        <v>952</v>
      </c>
      <c r="D209" s="73" t="s">
        <v>953</v>
      </c>
      <c r="I209" s="65"/>
      <c r="J209" s="66"/>
      <c r="K209" s="67"/>
      <c r="L209" s="63"/>
    </row>
    <row r="210" spans="1:12" ht="30">
      <c r="A210" s="50" t="s">
        <v>954</v>
      </c>
      <c r="B210" s="51" t="s">
        <v>955</v>
      </c>
      <c r="C210" s="52" t="s">
        <v>956</v>
      </c>
      <c r="D210" s="48" t="s">
        <v>957</v>
      </c>
      <c r="I210" s="65"/>
      <c r="J210" s="66"/>
      <c r="K210" s="67"/>
      <c r="L210" s="63"/>
    </row>
    <row r="211" spans="1:12" ht="29.25" hidden="1" thickBot="1">
      <c r="A211" s="38" t="s">
        <v>958</v>
      </c>
      <c r="B211" s="39" t="s">
        <v>959</v>
      </c>
      <c r="C211" s="40" t="s">
        <v>960</v>
      </c>
      <c r="D211" s="34" t="s">
        <v>961</v>
      </c>
      <c r="I211" s="65"/>
      <c r="J211" s="66"/>
      <c r="K211" s="67"/>
      <c r="L211" s="63"/>
    </row>
    <row r="212" spans="1:12" ht="28.5" hidden="1">
      <c r="A212" s="74" t="s">
        <v>962</v>
      </c>
      <c r="B212" s="57" t="s">
        <v>963</v>
      </c>
      <c r="C212" s="58" t="s">
        <v>963</v>
      </c>
      <c r="D212" s="73" t="s">
        <v>34</v>
      </c>
      <c r="I212" s="65"/>
      <c r="J212" s="66"/>
      <c r="K212" s="67"/>
      <c r="L212" s="63"/>
    </row>
    <row r="213" spans="1:12" ht="28.5">
      <c r="A213" s="50" t="s">
        <v>406</v>
      </c>
      <c r="B213" s="51" t="s">
        <v>964</v>
      </c>
      <c r="C213" s="52" t="s">
        <v>965</v>
      </c>
      <c r="D213" s="48" t="s">
        <v>966</v>
      </c>
      <c r="I213" s="65"/>
      <c r="J213" s="66"/>
      <c r="K213" s="67"/>
      <c r="L213" s="63"/>
    </row>
    <row r="214" spans="1:12" ht="29.25" hidden="1" thickBot="1">
      <c r="A214" s="38" t="s">
        <v>967</v>
      </c>
      <c r="B214" s="39" t="s">
        <v>968</v>
      </c>
      <c r="C214" s="40" t="s">
        <v>969</v>
      </c>
      <c r="D214" s="34" t="s">
        <v>970</v>
      </c>
      <c r="I214" s="65"/>
      <c r="J214" s="66"/>
      <c r="K214" s="67"/>
      <c r="L214" s="63"/>
    </row>
    <row r="215" spans="1:12" ht="29.25" hidden="1" thickBot="1">
      <c r="A215" s="38" t="s">
        <v>971</v>
      </c>
      <c r="B215" s="39" t="s">
        <v>972</v>
      </c>
      <c r="C215" s="40" t="s">
        <v>972</v>
      </c>
      <c r="D215" s="34" t="s">
        <v>34</v>
      </c>
      <c r="I215" s="65"/>
      <c r="J215" s="66"/>
      <c r="K215" s="67"/>
      <c r="L215" s="63"/>
    </row>
    <row r="216" spans="1:12" ht="29.25" hidden="1" thickBot="1">
      <c r="A216" s="38" t="s">
        <v>973</v>
      </c>
      <c r="B216" s="39" t="s">
        <v>974</v>
      </c>
      <c r="C216" s="40" t="s">
        <v>974</v>
      </c>
      <c r="D216" s="34" t="s">
        <v>34</v>
      </c>
      <c r="I216" s="65"/>
      <c r="J216" s="66"/>
      <c r="K216" s="67"/>
      <c r="L216" s="63"/>
    </row>
    <row r="217" spans="1:12" ht="30" hidden="1">
      <c r="A217" s="74" t="s">
        <v>975</v>
      </c>
      <c r="B217" s="57" t="s">
        <v>976</v>
      </c>
      <c r="C217" s="58" t="s">
        <v>976</v>
      </c>
      <c r="D217" s="73" t="s">
        <v>34</v>
      </c>
      <c r="I217" s="65"/>
      <c r="J217" s="66"/>
      <c r="K217" s="67"/>
      <c r="L217" s="63"/>
    </row>
    <row r="218" spans="1:12" ht="42.75">
      <c r="A218" s="50" t="s">
        <v>409</v>
      </c>
      <c r="B218" s="51" t="s">
        <v>977</v>
      </c>
      <c r="C218" s="52" t="s">
        <v>978</v>
      </c>
      <c r="D218" s="48" t="s">
        <v>979</v>
      </c>
      <c r="I218" s="65"/>
      <c r="J218" s="66"/>
      <c r="K218" s="67"/>
      <c r="L218" s="63"/>
    </row>
    <row r="219" spans="1:12" ht="30">
      <c r="A219" s="50" t="s">
        <v>444</v>
      </c>
      <c r="B219" s="51" t="s">
        <v>980</v>
      </c>
      <c r="C219" s="52" t="s">
        <v>981</v>
      </c>
      <c r="D219" s="48" t="s">
        <v>982</v>
      </c>
      <c r="I219" s="65"/>
      <c r="J219" s="66"/>
      <c r="K219" s="67"/>
      <c r="L219" s="63"/>
    </row>
    <row r="220" spans="1:12" ht="42.75" hidden="1">
      <c r="A220" s="74" t="s">
        <v>983</v>
      </c>
      <c r="B220" s="57" t="s">
        <v>984</v>
      </c>
      <c r="C220" s="58" t="s">
        <v>985</v>
      </c>
      <c r="D220" s="73" t="s">
        <v>986</v>
      </c>
      <c r="I220" s="65"/>
      <c r="J220" s="66"/>
      <c r="K220" s="67"/>
      <c r="L220" s="63"/>
    </row>
    <row r="221" spans="1:12">
      <c r="A221" s="50" t="s">
        <v>447</v>
      </c>
      <c r="B221" s="51" t="s">
        <v>987</v>
      </c>
      <c r="C221" s="52" t="s">
        <v>34</v>
      </c>
      <c r="D221" s="48" t="s">
        <v>987</v>
      </c>
      <c r="I221" s="65"/>
      <c r="J221" s="66"/>
      <c r="K221" s="67"/>
      <c r="L221" s="63"/>
    </row>
    <row r="222" spans="1:12" ht="29.25" hidden="1" thickBot="1">
      <c r="A222" s="38" t="s">
        <v>988</v>
      </c>
      <c r="B222" s="39" t="s">
        <v>989</v>
      </c>
      <c r="C222" s="40" t="s">
        <v>989</v>
      </c>
      <c r="D222" s="34" t="s">
        <v>34</v>
      </c>
      <c r="I222" s="65"/>
      <c r="J222" s="66"/>
      <c r="K222" s="67"/>
      <c r="L222" s="63"/>
    </row>
    <row r="223" spans="1:12" ht="30.75" hidden="1" thickBot="1">
      <c r="A223" s="38" t="s">
        <v>990</v>
      </c>
      <c r="B223" s="39" t="s">
        <v>991</v>
      </c>
      <c r="C223" s="40" t="s">
        <v>991</v>
      </c>
      <c r="D223" s="34" t="s">
        <v>34</v>
      </c>
      <c r="I223" s="65"/>
      <c r="J223" s="66"/>
      <c r="K223" s="67"/>
      <c r="L223" s="63"/>
    </row>
    <row r="224" spans="1:12" ht="30" hidden="1">
      <c r="A224" s="74" t="s">
        <v>992</v>
      </c>
      <c r="B224" s="57" t="s">
        <v>993</v>
      </c>
      <c r="C224" s="58" t="s">
        <v>993</v>
      </c>
      <c r="D224" s="73" t="s">
        <v>34</v>
      </c>
      <c r="I224" s="65"/>
      <c r="J224" s="66"/>
      <c r="K224" s="67"/>
      <c r="L224" s="63"/>
    </row>
    <row r="225" spans="1:12" ht="30">
      <c r="A225" s="50" t="s">
        <v>450</v>
      </c>
      <c r="B225" s="51" t="s">
        <v>994</v>
      </c>
      <c r="C225" s="52" t="s">
        <v>995</v>
      </c>
      <c r="D225" s="48" t="s">
        <v>996</v>
      </c>
      <c r="I225" s="65"/>
      <c r="J225" s="66"/>
      <c r="K225" s="67"/>
      <c r="L225" s="63"/>
    </row>
    <row r="226" spans="1:12" ht="29.25" hidden="1" thickBot="1">
      <c r="A226" s="38" t="s">
        <v>997</v>
      </c>
      <c r="B226" s="39" t="s">
        <v>998</v>
      </c>
      <c r="C226" s="40" t="s">
        <v>999</v>
      </c>
      <c r="D226" s="34" t="s">
        <v>1000</v>
      </c>
      <c r="I226" s="65"/>
      <c r="J226" s="66"/>
      <c r="K226" s="67"/>
      <c r="L226" s="63"/>
    </row>
    <row r="227" spans="1:12" ht="45.75" hidden="1" thickBot="1">
      <c r="A227" s="38" t="s">
        <v>1001</v>
      </c>
      <c r="B227" s="39" t="s">
        <v>1002</v>
      </c>
      <c r="C227" s="40" t="s">
        <v>1002</v>
      </c>
      <c r="D227" s="34" t="s">
        <v>34</v>
      </c>
      <c r="I227" s="65"/>
      <c r="J227" s="66"/>
      <c r="K227" s="67"/>
      <c r="L227" s="63"/>
    </row>
    <row r="228" spans="1:12" ht="30" hidden="1">
      <c r="A228" s="74" t="s">
        <v>1003</v>
      </c>
      <c r="B228" s="57" t="s">
        <v>1004</v>
      </c>
      <c r="C228" s="58" t="s">
        <v>1004</v>
      </c>
      <c r="D228" s="73" t="s">
        <v>34</v>
      </c>
      <c r="I228" s="65"/>
      <c r="J228" s="66"/>
      <c r="K228" s="67"/>
      <c r="L228" s="63"/>
    </row>
    <row r="229" spans="1:12" ht="28.5">
      <c r="A229" s="50" t="s">
        <v>459</v>
      </c>
      <c r="B229" s="51" t="s">
        <v>1005</v>
      </c>
      <c r="C229" s="52" t="s">
        <v>1006</v>
      </c>
      <c r="D229" s="48" t="s">
        <v>1007</v>
      </c>
      <c r="I229" s="65"/>
      <c r="J229" s="66"/>
      <c r="K229" s="67"/>
      <c r="L229" s="63"/>
    </row>
    <row r="230" spans="1:12" ht="30.75" hidden="1" thickBot="1">
      <c r="A230" s="38" t="s">
        <v>1008</v>
      </c>
      <c r="B230" s="39" t="s">
        <v>1009</v>
      </c>
      <c r="C230" s="40" t="s">
        <v>1009</v>
      </c>
      <c r="D230" s="34" t="s">
        <v>34</v>
      </c>
      <c r="I230" s="65"/>
      <c r="J230" s="66"/>
      <c r="K230" s="67"/>
      <c r="L230" s="63"/>
    </row>
    <row r="231" spans="1:12" ht="29.25" hidden="1" thickBot="1">
      <c r="A231" s="38" t="s">
        <v>1010</v>
      </c>
      <c r="B231" s="39" t="s">
        <v>1011</v>
      </c>
      <c r="C231" s="40" t="s">
        <v>1011</v>
      </c>
      <c r="D231" s="34" t="s">
        <v>34</v>
      </c>
      <c r="I231" s="65"/>
      <c r="J231" s="66"/>
      <c r="K231" s="67"/>
      <c r="L231" s="63"/>
    </row>
    <row r="232" spans="1:12" ht="30" hidden="1">
      <c r="A232" s="74" t="s">
        <v>1012</v>
      </c>
      <c r="B232" s="57" t="s">
        <v>1013</v>
      </c>
      <c r="C232" s="58" t="s">
        <v>1013</v>
      </c>
      <c r="D232" s="73" t="s">
        <v>34</v>
      </c>
      <c r="I232" s="65"/>
      <c r="J232" s="66"/>
      <c r="K232" s="67"/>
      <c r="L232" s="63"/>
    </row>
    <row r="233" spans="1:12" ht="28.5">
      <c r="A233" s="50" t="s">
        <v>464</v>
      </c>
      <c r="B233" s="51" t="s">
        <v>1014</v>
      </c>
      <c r="C233" s="52" t="s">
        <v>1015</v>
      </c>
      <c r="D233" s="48" t="s">
        <v>1016</v>
      </c>
      <c r="I233" s="65"/>
      <c r="J233" s="66"/>
      <c r="K233" s="67"/>
      <c r="L233" s="63"/>
    </row>
    <row r="234" spans="1:12">
      <c r="A234" s="27"/>
      <c r="B234" s="27"/>
      <c r="C234" s="27"/>
      <c r="D234" s="75">
        <f>SUBTOTAL(9,D8:D233)</f>
        <v>446099</v>
      </c>
    </row>
  </sheetData>
  <autoFilter ref="A3:D233">
    <filterColumn colId="3">
      <filters>
        <filter val="₹ 10,280.00"/>
        <filter val="₹ 10,670.00"/>
        <filter val="₹ 100,000.00"/>
        <filter val="₹ 102,652.00"/>
        <filter val="₹ 108,696.00"/>
        <filter val="₹ 112,363.00"/>
        <filter val="₹ 125,081.00"/>
        <filter val="₹ 127,149.00"/>
        <filter val="₹ 13,300.00"/>
        <filter val="₹ 131,360.00"/>
        <filter val="₹ 133,693.00"/>
        <filter val="₹ 143,362.00"/>
        <filter val="₹ 148,637.00"/>
        <filter val="₹ 152,502.00"/>
        <filter val="₹ 159,121.00"/>
        <filter val="₹ 163,594.00"/>
        <filter val="₹ 170,412.00"/>
        <filter val="₹ 185,052.00"/>
        <filter val="₹ 191,674.00"/>
        <filter val="₹ 191,993.00"/>
        <filter val="₹ 196,770.00"/>
        <filter val="₹ 20,143.00"/>
        <filter val="₹ 200,000.00"/>
        <filter val="₹ 211,569.00"/>
        <filter val="₹ 227,168.00"/>
        <filter val="₹ 229,614.00"/>
        <filter val="₹ 25,021.00"/>
        <filter val="₹ 25,568.00"/>
        <filter val="₹ 27,195.00"/>
        <filter val="₹ 28,596.00"/>
        <filter val="₹ 30,360.00"/>
        <filter val="₹ 33,218.00"/>
        <filter val="₹ 397,625.00"/>
        <filter val="₹ 4,695.00"/>
        <filter val="₹ 404,634.00"/>
        <filter val="₹ 406,843.00"/>
        <filter val="₹ 42,358.00"/>
        <filter val="₹ 44,251.00"/>
        <filter val="₹ 446,818.00"/>
        <filter val="₹ 448,331.00"/>
        <filter val="₹ 5,900.00"/>
        <filter val="₹ 520,235.00"/>
        <filter val="₹ 55,598.00"/>
        <filter val="₹ 563,905.00"/>
        <filter val="₹ 568,632.00"/>
        <filter val="₹ 59,981.00"/>
        <filter val="₹ 608,937.00"/>
        <filter val="₹ 65,782.00"/>
        <filter val="₹ 66,523.00"/>
        <filter val="₹ 7,467.00"/>
        <filter val="₹ 7,878.00"/>
        <filter val="₹ 72,666.00"/>
        <filter val="₹ 73,625.00"/>
        <filter val="₹ 77,423.00"/>
        <filter val="₹ 815,911.00"/>
        <filter val="₹ 84,310.00"/>
        <filter val="₹ 84,682.00"/>
        <filter val="₹ 90.00"/>
        <filter val="₹ 93,850.00"/>
        <filter val="₹ 93,860.00"/>
        <filter val="₹ 97,837.00"/>
        <filter val="₹ 99,467.00"/>
        <filter val="127,629.00"/>
        <filter val="19,455.00"/>
        <filter val="200,000.00"/>
        <filter val="99,015.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Ageing</vt:lpstr>
      <vt:lpstr>Party wise Balance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2026-07-05T12:07:05Z</dcterms:modified>
</cp:coreProperties>
</file>